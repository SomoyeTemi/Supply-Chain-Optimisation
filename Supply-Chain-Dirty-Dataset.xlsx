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6ec92e6dbaf9f852/Desktop/Tee's Data Analysis Workbook/Supply Chain/"/>
    </mc:Choice>
  </mc:AlternateContent>
  <xr:revisionPtr revIDLastSave="3588" documentId="13_ncr:1_{72789619-6A75-4F69-B823-D4BB1A870D40}" xr6:coauthVersionLast="47" xr6:coauthVersionMax="47" xr10:uidLastSave="{DBFA7D19-8059-4846-9FA1-51D2A77369B9}"/>
  <bookViews>
    <workbookView xWindow="-120" yWindow="-120" windowWidth="29040" windowHeight="18240" activeTab="3" xr2:uid="{00000000-000D-0000-FFFF-FFFF00000000}"/>
  </bookViews>
  <sheets>
    <sheet name="Dataset" sheetId="1" r:id="rId1"/>
    <sheet name="Charts" sheetId="11" r:id="rId2"/>
    <sheet name="Analysis" sheetId="2" r:id="rId3"/>
    <sheet name="Dashboard 2" sheetId="16" r:id="rId4"/>
  </sheets>
  <definedNames>
    <definedName name="_xlnm._FilterDatabase" localSheetId="0" hidden="1">Dataset!$A$1:$V$489</definedName>
    <definedName name="Slicer_Manufacturing_lead_time">#N/A</definedName>
    <definedName name="Slicer_Profitability">#N/A</definedName>
    <definedName name="Slicer_Shipping_costs">#N/A</definedName>
    <definedName name="Slicer_Transportation_modes">#N/A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On1Fy/H3tJAM3/e0zrgV17igGfhLAnxPdWZcIr46eE8="/>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E75" i="2"/>
  <c r="E4" i="2"/>
  <c r="E46" i="2"/>
  <c r="F36" i="2"/>
  <c r="E13" i="2"/>
  <c r="D13" i="2"/>
</calcChain>
</file>

<file path=xl/sharedStrings.xml><?xml version="1.0" encoding="utf-8"?>
<sst xmlns="http://schemas.openxmlformats.org/spreadsheetml/2006/main" count="3996" uniqueCount="548">
  <si>
    <t>Product type</t>
  </si>
  <si>
    <t>SKU</t>
  </si>
  <si>
    <t>Price</t>
  </si>
  <si>
    <t>Availability</t>
  </si>
  <si>
    <t>Number of products sold</t>
  </si>
  <si>
    <t>Lead times</t>
  </si>
  <si>
    <t>Order quantities</t>
  </si>
  <si>
    <t>Shipping times</t>
  </si>
  <si>
    <t>Shipping carriers</t>
  </si>
  <si>
    <t>Shipping costs</t>
  </si>
  <si>
    <t>Supplier name</t>
  </si>
  <si>
    <t>Location</t>
  </si>
  <si>
    <t>Supplier Lead time</t>
  </si>
  <si>
    <t>Production volumes</t>
  </si>
  <si>
    <t>Manufacturing lead time</t>
  </si>
  <si>
    <t>Manufacturing costs</t>
  </si>
  <si>
    <t>Inspection results</t>
  </si>
  <si>
    <t>Defect rates</t>
  </si>
  <si>
    <t>Transportation modes</t>
  </si>
  <si>
    <t>Routes</t>
  </si>
  <si>
    <t>Revenue</t>
  </si>
  <si>
    <t>haircare</t>
  </si>
  <si>
    <t>SKU0</t>
  </si>
  <si>
    <t>Carrier C</t>
  </si>
  <si>
    <t>Supplier 4</t>
  </si>
  <si>
    <t>New York</t>
  </si>
  <si>
    <t>Pass</t>
  </si>
  <si>
    <t>Road</t>
  </si>
  <si>
    <t>Route B</t>
  </si>
  <si>
    <t>skincare</t>
  </si>
  <si>
    <t>SKU1</t>
  </si>
  <si>
    <t>Carrier A</t>
  </si>
  <si>
    <t>Supplier 5</t>
  </si>
  <si>
    <t>Michigan</t>
  </si>
  <si>
    <t>Pending</t>
  </si>
  <si>
    <t>Air</t>
  </si>
  <si>
    <t>SKU2</t>
  </si>
  <si>
    <t>nan</t>
  </si>
  <si>
    <t>Supplier 1</t>
  </si>
  <si>
    <t>Route A</t>
  </si>
  <si>
    <t>SKU3</t>
  </si>
  <si>
    <t>Supplier 2</t>
  </si>
  <si>
    <t>SKU4</t>
  </si>
  <si>
    <t>Carrier B</t>
  </si>
  <si>
    <t>Supplier 3</t>
  </si>
  <si>
    <t>SKU5</t>
  </si>
  <si>
    <t>Alaska</t>
  </si>
  <si>
    <t>Rail</t>
  </si>
  <si>
    <t>SKU6</t>
  </si>
  <si>
    <t>Texas</t>
  </si>
  <si>
    <t>SKU7</t>
  </si>
  <si>
    <t>Fail</t>
  </si>
  <si>
    <t>SKU8</t>
  </si>
  <si>
    <t>Route C</t>
  </si>
  <si>
    <t>SKU9</t>
  </si>
  <si>
    <t>Washington</t>
  </si>
  <si>
    <t>SKU10</t>
  </si>
  <si>
    <t>SKU11</t>
  </si>
  <si>
    <t>SKU12</t>
  </si>
  <si>
    <t>SKU13</t>
  </si>
  <si>
    <t>SKU14</t>
  </si>
  <si>
    <t>SKU15</t>
  </si>
  <si>
    <t>Arizona</t>
  </si>
  <si>
    <t>SKU16</t>
  </si>
  <si>
    <t>SKU17</t>
  </si>
  <si>
    <t>SKU18</t>
  </si>
  <si>
    <t>SKU19</t>
  </si>
  <si>
    <t>SKU20</t>
  </si>
  <si>
    <t>SKU21</t>
  </si>
  <si>
    <t>SKU22</t>
  </si>
  <si>
    <t>SKU23</t>
  </si>
  <si>
    <t>SKU24</t>
  </si>
  <si>
    <t>SKU25</t>
  </si>
  <si>
    <t>SKU26</t>
  </si>
  <si>
    <t>SKU27</t>
  </si>
  <si>
    <t>SKU28</t>
  </si>
  <si>
    <t>SKU29</t>
  </si>
  <si>
    <t>SKU30</t>
  </si>
  <si>
    <t>SKU32</t>
  </si>
  <si>
    <t>SKU33</t>
  </si>
  <si>
    <t>SKU34</t>
  </si>
  <si>
    <t>SKU35</t>
  </si>
  <si>
    <t>SKU36</t>
  </si>
  <si>
    <t>SKU37</t>
  </si>
  <si>
    <t>SKU38</t>
  </si>
  <si>
    <t>SKU39</t>
  </si>
  <si>
    <t>SKU40</t>
  </si>
  <si>
    <t>SKU41</t>
  </si>
  <si>
    <t>SKU42</t>
  </si>
  <si>
    <t>SKU70</t>
  </si>
  <si>
    <t>SKU149</t>
  </si>
  <si>
    <t>SKU43</t>
  </si>
  <si>
    <t>SKU44</t>
  </si>
  <si>
    <t>SKU45</t>
  </si>
  <si>
    <t>SKU46</t>
  </si>
  <si>
    <t>SKU48</t>
  </si>
  <si>
    <t>SKU49</t>
  </si>
  <si>
    <t>SKU50</t>
  </si>
  <si>
    <t>SKU51</t>
  </si>
  <si>
    <t>SKU52</t>
  </si>
  <si>
    <t>SKU53</t>
  </si>
  <si>
    <t>SKU54</t>
  </si>
  <si>
    <t>SKU55</t>
  </si>
  <si>
    <t>SKU56</t>
  </si>
  <si>
    <t>SKU57</t>
  </si>
  <si>
    <t>SKU58</t>
  </si>
  <si>
    <t>SKU59</t>
  </si>
  <si>
    <t>SKU60</t>
  </si>
  <si>
    <t>SKU61</t>
  </si>
  <si>
    <t>SKU62</t>
  </si>
  <si>
    <t>SKU63</t>
  </si>
  <si>
    <t>SKU64</t>
  </si>
  <si>
    <t>SKU65</t>
  </si>
  <si>
    <t>SKU68</t>
  </si>
  <si>
    <t>NaN</t>
  </si>
  <si>
    <t>SKU69</t>
  </si>
  <si>
    <t>SKU71</t>
  </si>
  <si>
    <t>SKU72</t>
  </si>
  <si>
    <t>SKU73</t>
  </si>
  <si>
    <t>SKU74</t>
  </si>
  <si>
    <t>SKU75</t>
  </si>
  <si>
    <t>SKU76</t>
  </si>
  <si>
    <t>SKU77</t>
  </si>
  <si>
    <t>SKU78</t>
  </si>
  <si>
    <t>SKU79</t>
  </si>
  <si>
    <t>SKU80</t>
  </si>
  <si>
    <t>SKU81</t>
  </si>
  <si>
    <t>SKU82</t>
  </si>
  <si>
    <t>SKU83</t>
  </si>
  <si>
    <t>SKU84</t>
  </si>
  <si>
    <t>SKU85</t>
  </si>
  <si>
    <t>SKU86</t>
  </si>
  <si>
    <t>SKU87</t>
  </si>
  <si>
    <t>SKU88</t>
  </si>
  <si>
    <t>SKU89</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</si>
  <si>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</si>
  <si>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</si>
  <si>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</si>
  <si>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</si>
  <si>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</si>
  <si>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</si>
  <si>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</si>
  <si>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</si>
  <si>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</si>
  <si>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</si>
  <si>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</si>
  <si>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</si>
  <si>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</si>
  <si>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</si>
  <si>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</si>
  <si>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</si>
  <si>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</si>
  <si>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</si>
  <si>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</si>
  <si>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</si>
  <si>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</si>
  <si>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</si>
  <si>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</si>
  <si>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</si>
  <si>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</si>
  <si>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</si>
  <si>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</si>
  <si>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</si>
  <si>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SKU120</t>
  </si>
  <si>
    <t>SKU121</t>
  </si>
  <si>
    <t>SKU122</t>
  </si>
  <si>
    <t>SKU123</t>
  </si>
  <si>
    <t>SKU124</t>
  </si>
  <si>
    <t>SKU125</t>
  </si>
  <si>
    <t>SKU126</t>
  </si>
  <si>
    <t>SKU127</t>
  </si>
  <si>
    <t>SKU128</t>
  </si>
  <si>
    <t>SKU129</t>
  </si>
  <si>
    <t>SKU130</t>
  </si>
  <si>
    <t>SKU131</t>
  </si>
  <si>
    <t>SKU133</t>
  </si>
  <si>
    <t>SKU134</t>
  </si>
  <si>
    <t>SKU135</t>
  </si>
  <si>
    <t>SKU136</t>
  </si>
  <si>
    <t>SKU137</t>
  </si>
  <si>
    <t>SKU138</t>
  </si>
  <si>
    <t>SKU139</t>
  </si>
  <si>
    <t>SKU140</t>
  </si>
  <si>
    <t>SKU141</t>
  </si>
  <si>
    <t>SKU142</t>
  </si>
  <si>
    <t>SKU143</t>
  </si>
  <si>
    <t>SKU144</t>
  </si>
  <si>
    <t>SKU145</t>
  </si>
  <si>
    <t>SKU146</t>
  </si>
  <si>
    <t>SKU147</t>
  </si>
  <si>
    <t>SKU148</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</si>
  <si>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</si>
  <si>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</si>
  <si>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</si>
  <si>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</si>
  <si>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</si>
  <si>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</si>
  <si>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</si>
  <si>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</si>
  <si>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</si>
  <si>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</si>
  <si>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</si>
  <si>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</si>
  <si>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</si>
  <si>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</si>
  <si>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</si>
  <si>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</si>
  <si>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</si>
  <si>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</si>
  <si>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</si>
  <si>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</si>
  <si>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</si>
  <si>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</si>
  <si>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</si>
  <si>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</si>
  <si>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</si>
  <si>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</si>
  <si>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</si>
  <si>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</si>
  <si>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</si>
  <si>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</si>
  <si>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</si>
  <si>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</si>
  <si>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</si>
  <si>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</si>
  <si>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</si>
  <si>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</si>
  <si>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</si>
  <si>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</si>
  <si>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</si>
  <si>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</si>
  <si>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</si>
  <si>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</si>
  <si>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</si>
  <si>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</si>
  <si>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</si>
  <si>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</si>
  <si>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</si>
  <si>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</si>
  <si>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</si>
  <si>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</si>
  <si>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</si>
  <si>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</si>
  <si>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</si>
  <si>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</si>
  <si>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</si>
  <si>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</si>
  <si>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</si>
  <si>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</si>
  <si>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</si>
  <si>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</si>
  <si>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</si>
  <si>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</si>
  <si>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</si>
  <si>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</si>
  <si>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</si>
  <si>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</si>
  <si>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</si>
  <si>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</si>
  <si>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</si>
  <si>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</si>
  <si>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</si>
  <si>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</si>
  <si>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</si>
  <si>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</si>
  <si>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</si>
  <si>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</si>
  <si>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</si>
  <si>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</si>
  <si>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</si>
  <si>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</si>
  <si>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</si>
  <si>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</si>
  <si>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</si>
  <si>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</si>
  <si>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</si>
  <si>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</si>
  <si>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</si>
  <si>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</si>
  <si>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</si>
  <si>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</si>
  <si>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</si>
  <si>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</si>
  <si>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</si>
  <si>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</si>
  <si>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</si>
  <si>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</si>
  <si>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</si>
  <si>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</si>
  <si>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</si>
  <si>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</si>
  <si>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</si>
  <si>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</si>
  <si>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</si>
  <si>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</si>
  <si>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</si>
  <si>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</si>
  <si>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</si>
  <si>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</si>
  <si>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</si>
  <si>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</si>
  <si>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</si>
  <si>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</si>
  <si>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</si>
  <si>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</si>
  <si>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</si>
  <si>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</si>
  <si>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</si>
  <si>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</si>
  <si>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</si>
  <si>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</si>
  <si>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</si>
  <si>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</si>
  <si>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</si>
  <si>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</si>
  <si>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</si>
  <si>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</si>
  <si>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</si>
  <si>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</si>
  <si>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</si>
  <si>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</si>
  <si>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</si>
  <si>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</si>
  <si>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</si>
  <si>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</si>
  <si>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</si>
  <si>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</si>
  <si>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</si>
  <si>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</si>
  <si>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</si>
  <si>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</si>
  <si>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</si>
  <si>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</si>
  <si>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</si>
  <si>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</si>
  <si>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</si>
  <si>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</si>
  <si>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</si>
  <si>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</si>
  <si>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</si>
  <si>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</si>
  <si>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</si>
  <si>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</si>
  <si>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</si>
  <si>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</si>
  <si>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</si>
  <si>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</si>
  <si>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</si>
  <si>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</si>
  <si>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</si>
  <si>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</si>
  <si>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</si>
  <si>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</si>
  <si>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</si>
  <si>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</si>
  <si>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</si>
  <si>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</si>
  <si>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</si>
  <si>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</si>
  <si>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</si>
  <si>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</si>
  <si>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</si>
  <si>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</si>
  <si>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</si>
  <si>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</si>
  <si>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</si>
  <si>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</si>
  <si>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</si>
  <si>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</si>
  <si>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</si>
  <si>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</si>
  <si>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</si>
  <si>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</si>
  <si>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</si>
  <si>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</si>
  <si>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</si>
  <si>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</si>
  <si>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</si>
  <si>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</si>
  <si>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</si>
  <si>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</si>
  <si>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</si>
  <si>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</si>
  <si>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SKU346</t>
  </si>
  <si>
    <t>SKU347</t>
  </si>
  <si>
    <t>SKU348</t>
  </si>
  <si>
    <t>SKU349</t>
  </si>
  <si>
    <t>SKU350</t>
  </si>
  <si>
    <t>SKU351</t>
  </si>
  <si>
    <t>SKU352</t>
  </si>
  <si>
    <t>SKU353</t>
  </si>
  <si>
    <t>SKU354</t>
  </si>
  <si>
    <t>SKU355</t>
  </si>
  <si>
    <t>SKU356</t>
  </si>
  <si>
    <t>SKU357</t>
  </si>
  <si>
    <t>SKU358</t>
  </si>
  <si>
    <t>SKU359</t>
  </si>
  <si>
    <t>SKU360</t>
  </si>
  <si>
    <t>SKU361</t>
  </si>
  <si>
    <t>SKU362</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</si>
  <si>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</si>
  <si>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</si>
  <si>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</si>
  <si>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</si>
  <si>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</si>
  <si>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</si>
  <si>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</si>
  <si>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</si>
  <si>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</si>
  <si>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</si>
  <si>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</si>
  <si>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</si>
  <si>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</si>
  <si>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</si>
  <si>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</si>
  <si>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</si>
  <si>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</si>
  <si>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</si>
  <si>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</si>
  <si>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</si>
  <si>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</si>
  <si>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</si>
  <si>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</si>
  <si>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</si>
  <si>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</si>
  <si>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</si>
  <si>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</si>
  <si>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</si>
  <si>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</si>
  <si>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</si>
  <si>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</si>
  <si>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</si>
  <si>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</si>
  <si>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</si>
  <si>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</si>
  <si>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</si>
  <si>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</si>
  <si>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</si>
  <si>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</si>
  <si>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</si>
  <si>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</si>
  <si>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</si>
  <si>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</si>
  <si>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</si>
  <si>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</si>
  <si>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</si>
  <si>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</si>
  <si>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</si>
  <si>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</si>
  <si>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</si>
  <si>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</si>
  <si>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</si>
  <si>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</si>
  <si>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</si>
  <si>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</si>
  <si>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</si>
  <si>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</si>
  <si>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</si>
  <si>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</si>
  <si>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</si>
  <si>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</si>
  <si>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</si>
  <si>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</si>
  <si>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</si>
  <si>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</si>
  <si>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</si>
  <si>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</si>
  <si>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</si>
  <si>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</si>
  <si>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</si>
  <si>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</si>
  <si>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</si>
  <si>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</si>
  <si>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</si>
  <si>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</si>
  <si>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</si>
  <si>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</si>
  <si>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</si>
  <si>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</si>
  <si>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</si>
  <si>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</si>
  <si>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</si>
  <si>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</si>
  <si>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</si>
  <si>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</si>
  <si>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</si>
  <si>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</si>
  <si>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</si>
  <si>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</si>
  <si>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</si>
  <si>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</si>
  <si>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</si>
  <si>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</si>
  <si>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</si>
  <si>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</si>
  <si>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</si>
  <si>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</si>
  <si>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</si>
  <si>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</si>
  <si>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</si>
  <si>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</si>
  <si>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</si>
  <si>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</si>
  <si>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</si>
  <si>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</si>
  <si>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</si>
  <si>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</si>
  <si>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</si>
  <si>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</si>
  <si>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</si>
  <si>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</si>
  <si>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</si>
  <si>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</si>
  <si>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</si>
  <si>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</si>
  <si>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</si>
  <si>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</si>
  <si>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SKU484</t>
  </si>
  <si>
    <t>SKU485</t>
  </si>
  <si>
    <t>SKU486</t>
  </si>
  <si>
    <t>SKU487</t>
  </si>
  <si>
    <t>SKU488</t>
  </si>
  <si>
    <t>SKU489</t>
  </si>
  <si>
    <t>SKU490</t>
  </si>
  <si>
    <t>SKU491</t>
  </si>
  <si>
    <t>SKU492</t>
  </si>
  <si>
    <t>SKU493</t>
  </si>
  <si>
    <t>SKU494</t>
  </si>
  <si>
    <t>SKU495</t>
  </si>
  <si>
    <t>SKU496</t>
  </si>
  <si>
    <t>SKU497</t>
  </si>
  <si>
    <t>SKU498</t>
  </si>
  <si>
    <t>SKU499</t>
  </si>
  <si>
    <t>SKU47</t>
  </si>
  <si>
    <t>SKU67</t>
  </si>
  <si>
    <t>SKU31</t>
  </si>
  <si>
    <t>Column1</t>
  </si>
  <si>
    <t>Row Labels</t>
  </si>
  <si>
    <t>Grand Total</t>
  </si>
  <si>
    <t>Sum of Shipping costs</t>
  </si>
  <si>
    <t>Average of Lead times</t>
  </si>
  <si>
    <t>Average of Manufacturing lead time</t>
  </si>
  <si>
    <t>Average of Defect rates</t>
  </si>
  <si>
    <t>Profitability</t>
  </si>
  <si>
    <t>Sum of Profitability</t>
  </si>
  <si>
    <t>Total Profitability</t>
  </si>
  <si>
    <t>s</t>
  </si>
  <si>
    <t>Count of 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</si>
</sst>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0000"/>
  </numFmts>
  <fonts count="5" x14ac:knownFonts="1">
    <font>
      <sz val="11"/>
      <color theme="1"/>
      <name val="Calibri"/>
      <scheme val="minor"/>
    </font>
    <font>
      <sz val="11"/>
      <color theme="1"/>
      <name val="Calibri"/>
      <scheme val="minor"/>
    </font>
    <font>
      <sz val="11"/>
      <color theme="1"/>
      <name val="Calibri"/>
    </font>
    <font>
      <sz val="11"/>
      <color theme="1"/>
      <name val="Aptos"/>
      <family val="2"/>
    </font>
    <font>
      <sz val="16"/>
      <color theme="1"/>
      <name val="Aptos"/>
      <family val="2"/>
    </font>
  </fonts>
  <fills count="4">
    <fill>
      <patternFill patternType="none"/>
    </fill>
    <fill>
      <patternFill patternType="gray125"/>
    </fill>
    <fill>
      <patternFill patternType="solid">
        <fgColor theme="6" tint="0.39997558519241921"/>
        <bgColor indexed="64"/>
      </patternFill>
    </fill>
    <fill>
      <patternFill patternType="solid">
        <fgColor theme="2" tint="-0.14999847407452621"/>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2" fontId="2" fillId="0" borderId="0" xfId="0" applyNumberFormat="1" applyFont="1"/>
    <xf numFmtId="164" fontId="1" fillId="0" borderId="0" xfId="0" applyNumberFormat="1" applyFont="1"/>
    <xf numFmtId="165" fontId="1" fillId="0" borderId="0" xfId="0" applyNumberFormat="1" applyFont="1"/>
    <xf numFmtId="166" fontId="1" fillId="0" borderId="0" xfId="0" applyNumberFormat="1" applyFon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2" fontId="0" fillId="0" borderId="0" xfId="0" applyNumberFormat="1"/>
    <xf numFmtId="1" fontId="0" fillId="0" borderId="0" xfId="0" applyNumberFormat="1"/>
    <xf numFmtId="0" fontId="3" fillId="2" borderId="0" xfId="0" applyFont="1" applyFill="1"/>
    <xf numFmtId="0" fontId="4" fillId="2" borderId="0" xfId="0" applyFont="1" applyFill="1"/>
    <xf numFmtId="0" fontId="3" fillId="3" borderId="0" xfId="0" applyFont="1" applyFill="1"/>
    <xf numFmtId="0" fontId="0" fillId="0" borderId="0" xfId="0" applyNumberFormat="1"/>
  </cellXfs>
  <cellStyles count="1">
    <cellStyle name="Normal" xfId="0" builtinId="0"/>
  </cellStyles>
  <dxfs count="54">
    <dxf>
      <font>
        <color rgb="FF006100"/>
      </font>
      <fill>
        <patternFill>
          <bgColor rgb="FFC6EFCE"/>
        </patternFill>
      </fill>
    </dxf>
    <dxf>
      <font>
        <color rgb="FF9C0006"/>
      </font>
      <fill>
        <patternFill>
          <bgColor rgb="FFFFC7CE"/>
        </patternFill>
      </fill>
    </dxf>
    <dxf>
      <numFmt numFmtId="165" formatCode="0.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0.0000"/>
    </dxf>
    <dxf>
      <font>
        <b val="0"/>
        <i val="0"/>
        <strike val="0"/>
        <condense val="0"/>
        <extend val="0"/>
        <outline val="0"/>
        <shadow val="0"/>
        <u val="none"/>
        <vertAlign val="baseline"/>
        <sz val="11"/>
        <color theme="1"/>
        <name val="Calibri"/>
        <scheme val="minor"/>
      </font>
      <numFmt numFmtId="164" formatCode="0.0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numFmt numFmtId="165" formatCode="0.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2" formatCode="0.00"/>
    </dxf>
    <dxf>
      <font>
        <b val="0"/>
        <i val="0"/>
        <strike val="0"/>
        <condense val="0"/>
        <extend val="0"/>
        <outline val="0"/>
        <shadow val="0"/>
        <u val="none"/>
        <vertAlign val="baseline"/>
        <sz val="11"/>
        <color theme="1"/>
        <name val="Calibri"/>
        <scheme val="none"/>
      </font>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[Supply-Chain-Dirty-Dataset.xlsx]Analysis!Route by shipping cost</c:name>
    <c:fmtId val="42"/>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Delay</a:t>
            </a:r>
            <a:r>
              <a:rPr lang="en-US" sz="1200" baseline="0"/>
              <a:t> caused by transportation routes</a:t>
            </a:r>
            <a:endParaRPr lang="en-US" sz="1200"/>
          </a:p>
        </c:rich>
      </c:tx>
      <c:layout>
        <c:manualLayout>
          <c:xMode val="edge"/>
          <c:yMode val="edge"/>
          <c:x val="0.21581419559767964"/>
          <c:y val="5.4534849810440364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Analysis!$A$4:$A$7</c:f>
              <c:strCache>
                <c:ptCount val="3"/>
                <c:pt idx="0">
                  <c:v>Route A</c:v>
                </c:pt>
                <c:pt idx="1">
                  <c:v>Route B</c:v>
                </c:pt>
                <c:pt idx="2">
                  <c:v>Route C</c:v>
                </c:pt>
              </c:strCache>
            </c:strRef>
          </c:cat>
          <c:val>
            <c:numRef>
              <c:f>Analysis!$B$4:$B$7</c:f>
              <c:numCache>
                <c:formatCode>0.00</c:formatCode>
                <c:ptCount val="3"/>
                <c:pt idx="0">
                  <c:v>911.66186578500003</c:v>
                </c:pt>
                <c:pt idx="1">
                  <c:v>882.6333513320003</c:v>
                </c:pt>
                <c:pt idx="2">
                  <c:v>834.07161219499994</c:v>
                </c:pt>
              </c:numCache>
            </c:numRef>
          </c:val>
          <c:extLst>
            <c:ext xmlns:c16="http://schemas.microsoft.com/office/drawing/2014/chart" uri="{C3380CC4-5D6E-409C-BE32-E72D297353CC}">
              <c16:uniqueId val="{00000000-F2BF-471E-A90C-3B7AB403FA8A}"/>
            </c:ext>
          </c:extLst>
        </c:ser>
        <c:dLbls>
          <c:showLegendKey val="0"/>
          <c:showVal val="0"/>
          <c:showCatName val="0"/>
          <c:showSerName val="0"/>
          <c:showPercent val="0"/>
          <c:showBubbleSize val="0"/>
        </c:dLbls>
        <c:gapWidth val="326"/>
        <c:overlap val="-58"/>
        <c:axId val="253323455"/>
        <c:axId val="1423420335"/>
      </c:barChart>
      <c:catAx>
        <c:axId val="2533234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20335"/>
        <c:crosses val="autoZero"/>
        <c:auto val="1"/>
        <c:lblAlgn val="ctr"/>
        <c:lblOffset val="100"/>
        <c:noMultiLvlLbl val="0"/>
      </c:catAx>
      <c:valAx>
        <c:axId val="142342033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2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[Supply-Chain-Dirty-Dataset.xlsx]Analysis!PivotTable3</c:name>
    <c:fmtId val="26"/>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Transportation Delay</a:t>
            </a:r>
            <a:r>
              <a:rPr lang="en-US" sz="1200" baseline="0"/>
              <a:t> caused by Supplier</a:t>
            </a:r>
            <a:endParaRPr lang="en-US" sz="1200"/>
          </a:p>
        </c:rich>
      </c:tx>
      <c:layout>
        <c:manualLayout>
          <c:xMode val="edge"/>
          <c:yMode val="edge"/>
          <c:x val="0.21745822397200351"/>
          <c:y val="0.10546077573636629"/>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Analysis!$A$11:$A$16</c:f>
              <c:strCache>
                <c:ptCount val="5"/>
                <c:pt idx="0">
                  <c:v>Supplier 1</c:v>
                </c:pt>
                <c:pt idx="1">
                  <c:v>Supplier 2</c:v>
                </c:pt>
                <c:pt idx="2">
                  <c:v>Supplier 3</c:v>
                </c:pt>
                <c:pt idx="3">
                  <c:v>Supplier 4</c:v>
                </c:pt>
                <c:pt idx="4">
                  <c:v>Supplier 5</c:v>
                </c:pt>
              </c:strCache>
            </c:strRef>
          </c:cat>
          <c:val>
            <c:numRef>
              <c:f>Analysis!$B$11:$B$16</c:f>
              <c:numCache>
                <c:formatCode>0.00</c:formatCode>
                <c:ptCount val="5"/>
                <c:pt idx="0">
                  <c:v>461.54302327999994</c:v>
                </c:pt>
                <c:pt idx="1">
                  <c:v>536.09367776200008</c:v>
                </c:pt>
                <c:pt idx="2">
                  <c:v>627.41472311500002</c:v>
                </c:pt>
                <c:pt idx="3">
                  <c:v>453.11314393299995</c:v>
                </c:pt>
                <c:pt idx="4">
                  <c:v>513.59675313399975</c:v>
                </c:pt>
              </c:numCache>
            </c:numRef>
          </c:val>
          <c:extLst>
            <c:ext xmlns:c16="http://schemas.microsoft.com/office/drawing/2014/chart" uri="{C3380CC4-5D6E-409C-BE32-E72D297353CC}">
              <c16:uniqueId val="{00000000-1767-4656-A599-D6C29651C195}"/>
            </c:ext>
          </c:extLst>
        </c:ser>
        <c:dLbls>
          <c:showLegendKey val="0"/>
          <c:showVal val="0"/>
          <c:showCatName val="0"/>
          <c:showSerName val="0"/>
          <c:showPercent val="0"/>
          <c:showBubbleSize val="0"/>
        </c:dLbls>
        <c:gapWidth val="326"/>
        <c:overlap val="-58"/>
        <c:axId val="253257103"/>
        <c:axId val="60966095"/>
      </c:barChart>
      <c:catAx>
        <c:axId val="2532571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095"/>
        <c:crosses val="autoZero"/>
        <c:auto val="1"/>
        <c:lblAlgn val="ctr"/>
        <c:lblOffset val="100"/>
        <c:noMultiLvlLbl val="0"/>
      </c:catAx>
      <c:valAx>
        <c:axId val="609660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5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[Supply-Chain-Dirty-Dataset.xlsx]Analysis!PivotTable5</c:name>
    <c:fmtId val="32"/>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t>High defects rates linked to specific suppliers or manufacturing lead times</a:t>
            </a:r>
          </a:p>
        </c:rich>
      </c:tx>
      <c:layout>
        <c:manualLayout>
          <c:xMode val="edge"/>
          <c:yMode val="edge"/>
          <c:x val="0.21745822397200351"/>
          <c:y val="0.10546077573636629"/>
        </c:manualLayout>
      </c:layout>
      <c:overlay val="0"/>
      <c:spPr>
        <a:noFill/>
        <a:ln>
          <a:noFill/>
        </a:ln>
        <a:effectLst/>
      </c:sp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Analysis!$B$32</c:f>
              <c:strCache>
                <c:ptCount val="1"/>
                <c:pt idx="0">
                  <c:v>Average of Defect rates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Analysis!$A$33:$A$38</c:f>
              <c:strCache>
                <c:ptCount val="5"/>
                <c:pt idx="0">
                  <c:v>Supplier 1</c:v>
                </c:pt>
                <c:pt idx="1">
                  <c:v>Supplier 2</c:v>
                </c:pt>
                <c:pt idx="2">
                  <c:v>Supplier 3</c:v>
                </c:pt>
                <c:pt idx="3">
                  <c:v>Supplier 4</c:v>
                </c:pt>
                <c:pt idx="4">
                  <c:v>Supplier 5</c:v>
                </c:pt>
              </c:strCache>
            </c:strRef>
          </c:cat>
          <c:val>
            <c:numRef>
              <c:f>Analysis!$B$33:$B$38</c:f>
              <c:numCache>
                <c:formatCode>0.0000</c:formatCode>
                <c:ptCount val="5"/>
                <c:pt idx="0">
                  <c:v>2.7996253694302329</c:v>
                </c:pt>
                <c:pt idx="1">
                  <c:v>2.6000047144500003</c:v>
                </c:pt>
                <c:pt idx="2">
                  <c:v>2.7222198359203529</c:v>
                </c:pt>
                <c:pt idx="3">
                  <c:v>2.3540339976666678</c:v>
                </c:pt>
                <c:pt idx="4">
                  <c:v>2.5261553421111107</c:v>
                </c:pt>
              </c:numCache>
            </c:numRef>
          </c:val>
          <c:extLst>
            <c:ext xmlns:c16="http://schemas.microsoft.com/office/drawing/2014/chart" uri="{C3380CC4-5D6E-409C-BE32-E72D297353CC}">
              <c16:uniqueId val="{00000000-F467-4FB4-B54F-67D6A6CACB21}"/>
            </c:ext>
          </c:extLst>
        </c:ser>
        <c:ser>
          <c:idx val="1"/>
          <c:order val="1"/>
          <c:tx>
            <c:strRef>
              <c:f>Analysis!$C$32</c:f>
              <c:strCache>
                <c:ptCount val="1"/>
                <c:pt idx="0">
                  <c:v>Average of Manufacturing lead time</c:v>
                </c:pt>
              </c:strCache>
            </c:strRef>
          </c:tx>
          <c:invertIfNegative val="0"/>
          <c:cat>
            <c:strRef>
              <c:f>Analysis!$A$33:$A$38</c:f>
              <c:strCache>
                <c:ptCount val="5"/>
                <c:pt idx="0">
                  <c:v>Supplier 1</c:v>
                </c:pt>
                <c:pt idx="1">
                  <c:v>Supplier 2</c:v>
                </c:pt>
                <c:pt idx="2">
                  <c:v>Supplier 3</c:v>
                </c:pt>
                <c:pt idx="3">
                  <c:v>Supplier 4</c:v>
                </c:pt>
                <c:pt idx="4">
                  <c:v>Supplier 5</c:v>
                </c:pt>
              </c:strCache>
            </c:strRef>
          </c:cat>
          <c:val>
            <c:numRef>
              <c:f>Analysis!$C$33:$C$38</c:f>
              <c:numCache>
                <c:formatCode>General</c:formatCode>
                <c:ptCount val="5"/>
                <c:pt idx="0">
                  <c:v>14.732558139534884</c:v>
                </c:pt>
                <c:pt idx="1">
                  <c:v>14.2</c:v>
                </c:pt>
                <c:pt idx="2">
                  <c:v>14.486725663716815</c:v>
                </c:pt>
                <c:pt idx="3">
                  <c:v>16.345238095238095</c:v>
                </c:pt>
                <c:pt idx="4">
                  <c:v>14.6</c:v>
                </c:pt>
              </c:numCache>
            </c:numRef>
          </c:val>
          <c:extLst>
            <c:ext xmlns:c16="http://schemas.microsoft.com/office/drawing/2014/chart" uri="{C3380CC4-5D6E-409C-BE32-E72D297353CC}">
              <c16:uniqueId val="{00000003-A057-4572-AF0C-6682836F42B9}"/>
            </c:ext>
          </c:extLst>
        </c:ser>
        <c:dLbls>
          <c:showLegendKey val="0"/>
          <c:showVal val="0"/>
          <c:showCatName val="0"/>
          <c:showSerName val="0"/>
          <c:showPercent val="0"/>
          <c:showBubbleSize val="0"/>
        </c:dLbls>
        <c:gapWidth val="326"/>
        <c:overlap val="-58"/>
        <c:axId val="253257103"/>
        <c:axId val="60966095"/>
      </c:barChart>
      <c:catAx>
        <c:axId val="2532571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095"/>
        <c:crosses val="autoZero"/>
        <c:auto val="1"/>
        <c:lblAlgn val="ctr"/>
        <c:lblOffset val="100"/>
        <c:noMultiLvlLbl val="0"/>
      </c:catAx>
      <c:valAx>
        <c:axId val="609660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571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[Supply-Chain-Dirty-Dataset.xlsx]Analysis!PivotTable6</c:name>
    <c:fmtId val="2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Profitabilty</a:t>
            </a:r>
            <a:r>
              <a:rPr lang="en-US" baseline="0"/>
              <a:t> by product in ascending order</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Analysis!$A$43:$A$53</c:f>
              <c:strCache>
                <c:ptCount val="10"/>
                <c:pt idx="0">
                  <c:v>SKU198</c:v>
                </c:pt>
                <c:pt idx="1">
                  <c:v>SKU146</c:v>
                </c:pt>
                <c:pt idx="2">
                  <c:v>SKU393</c:v>
                </c:pt>
                <c:pt idx="3">
                  <c:v>SKU208</c:v>
                </c:pt>
                <c:pt idx="4">
                  <c:v>SKU378</c:v>
                </c:pt>
                <c:pt idx="5">
                  <c:v>SKU275</c:v>
                </c:pt>
                <c:pt idx="6">
                  <c:v>SKU40</c:v>
                </c:pt>
                <c:pt idx="7">
                  <c:v>SKU223</c:v>
                </c:pt>
                <c:pt idx="8">
                  <c:v>SKU43</c:v>
                </c:pt>
                <c:pt idx="9">
                  <c:v>SKU267</c:v>
                </c:pt>
              </c:strCache>
            </c:strRef>
          </c:cat>
          <c:val>
            <c:numRef>
              <c:f>Analysis!$B$43:$B$53</c:f>
              <c:numCache>
                <c:formatCode>0.000</c:formatCode>
                <c:ptCount val="10"/>
                <c:pt idx="0">
                  <c:v>976.02035283400005</c:v>
                </c:pt>
                <c:pt idx="1">
                  <c:v>968.79876385199998</c:v>
                </c:pt>
                <c:pt idx="2">
                  <c:v>960.14858457299999</c:v>
                </c:pt>
                <c:pt idx="3">
                  <c:v>956.35533908399998</c:v>
                </c:pt>
                <c:pt idx="4">
                  <c:v>948.35676173999991</c:v>
                </c:pt>
                <c:pt idx="5">
                  <c:v>945.72638379600005</c:v>
                </c:pt>
                <c:pt idx="6">
                  <c:v>944.76048504100004</c:v>
                </c:pt>
                <c:pt idx="7">
                  <c:v>939.72146825400011</c:v>
                </c:pt>
                <c:pt idx="8">
                  <c:v>929.50840539300009</c:v>
                </c:pt>
                <c:pt idx="9">
                  <c:v>929.40765167300003</c:v>
                </c:pt>
              </c:numCache>
            </c:numRef>
          </c:val>
          <c:extLst>
            <c:ext xmlns:c16="http://schemas.microsoft.com/office/drawing/2014/chart" uri="{C3380CC4-5D6E-409C-BE32-E72D297353CC}">
              <c16:uniqueId val="{00000000-22AB-40D0-8AF4-D47314C02A53}"/>
            </c:ext>
          </c:extLst>
        </c:ser>
        <c:dLbls>
          <c:showLegendKey val="0"/>
          <c:showVal val="0"/>
          <c:showCatName val="0"/>
          <c:showSerName val="0"/>
          <c:showPercent val="0"/>
          <c:showBubbleSize val="0"/>
        </c:dLbls>
        <c:gapWidth val="100"/>
        <c:overlap val="-24"/>
        <c:axId val="2112324447"/>
        <c:axId val="2091211631"/>
      </c:barChart>
      <c:catAx>
        <c:axId val="211232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91211631"/>
        <c:crosses val="autoZero"/>
        <c:auto val="1"/>
        <c:lblAlgn val="ctr"/>
        <c:lblOffset val="100"/>
        <c:noMultiLvlLbl val="0"/>
      </c:catAx>
      <c:valAx>
        <c:axId val="209121163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232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[Supply-Chain-Dirty-Dataset.xlsx]Analysis!PivotTable8</c:name>
    <c:fmtId val="1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0" i="0" u="none" strike="noStrike" kern="1200" cap="none" spc="20" baseline="0">
                <a:solidFill>
                  <a:srgbClr val="000000">
                    <a:lumMod val="50000"/>
                    <a:lumOff val="50000"/>
                  </a:srgbClr>
                </a:solidFill>
              </a:rPr>
              <a:t>Profitabilty by product in descending order</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Analysis!$A$58:$A$68</c:f>
              <c:strCache>
                <c:ptCount val="10"/>
                <c:pt idx="0">
                  <c:v>SKU167</c:v>
                </c:pt>
                <c:pt idx="1">
                  <c:v>SKU169</c:v>
                </c:pt>
                <c:pt idx="2">
                  <c:v>SKU177</c:v>
                </c:pt>
                <c:pt idx="3">
                  <c:v>SKU184</c:v>
                </c:pt>
                <c:pt idx="4">
                  <c:v>SKU271</c:v>
                </c:pt>
                <c:pt idx="5">
                  <c:v>SKU299</c:v>
                </c:pt>
                <c:pt idx="6">
                  <c:v>SKU347</c:v>
                </c:pt>
                <c:pt idx="7">
                  <c:v>SKU371</c:v>
                </c:pt>
                <c:pt idx="8">
                  <c:v>SKU5</c:v>
                </c:pt>
                <c:pt idx="9">
                  <c:v>SKU61</c:v>
                </c:pt>
              </c:strCache>
            </c:strRef>
          </c:cat>
          <c:val>
            <c:numRef>
              <c:f>Analysis!$B$58:$B$68</c:f>
              <c:numCache>
                <c:formatCode>0.000</c:formatCode>
                <c:ptCount val="10"/>
                <c:pt idx="0">
                  <c:v>35.763232395999992</c:v>
                </c:pt>
                <c:pt idx="1">
                  <c:v>29.599826192000009</c:v>
                </c:pt>
                <c:pt idx="2">
                  <c:v>56.525176751000018</c:v>
                </c:pt>
                <c:pt idx="3">
                  <c:v>15.620342644999994</c:v>
                </c:pt>
                <c:pt idx="4">
                  <c:v>31.963765433999995</c:v>
                </c:pt>
                <c:pt idx="5">
                  <c:v>29.637530827999996</c:v>
                </c:pt>
                <c:pt idx="6">
                  <c:v>57.265953816999989</c:v>
                </c:pt>
                <c:pt idx="7">
                  <c:v>46.896082501999999</c:v>
                </c:pt>
                <c:pt idx="8">
                  <c:v>32.672640130999994</c:v>
                </c:pt>
                <c:pt idx="9">
                  <c:v>10.080273851000001</c:v>
                </c:pt>
              </c:numCache>
            </c:numRef>
          </c:val>
          <c:extLst>
            <c:ext xmlns:c16="http://schemas.microsoft.com/office/drawing/2014/chart" uri="{C3380CC4-5D6E-409C-BE32-E72D297353CC}">
              <c16:uniqueId val="{00000000-4C47-4BA2-B5DF-E27B28EE4479}"/>
            </c:ext>
          </c:extLst>
        </c:ser>
        <c:dLbls>
          <c:showLegendKey val="0"/>
          <c:showVal val="0"/>
          <c:showCatName val="0"/>
          <c:showSerName val="0"/>
          <c:showPercent val="0"/>
          <c:showBubbleSize val="0"/>
        </c:dLbls>
        <c:gapWidth val="100"/>
        <c:overlap val="-24"/>
        <c:axId val="459589871"/>
        <c:axId val="2091359951"/>
      </c:barChart>
      <c:catAx>
        <c:axId val="45958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91359951"/>
        <c:crosses val="autoZero"/>
        <c:auto val="1"/>
        <c:lblAlgn val="ctr"/>
        <c:lblOffset val="100"/>
        <c:noMultiLvlLbl val="0"/>
      </c:catAx>
      <c:valAx>
        <c:axId val="209135995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958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[Supply-Chain-Dirty-Dataset.xlsx]Analysis!PivotTable9</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Correlation between transportation mode and shipping cost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Analysis!$B$74</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1CC-47D1-9F00-86E5E659AD43}"/>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1CC-47D1-9F00-86E5E659AD43}"/>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1CC-47D1-9F00-86E5E659AD43}"/>
              </c:ext>
            </c:extLst>
          </c:dPt>
          <c:cat>
            <c:strRef>
              <c:f>Analysis!$A$75:$A$78</c:f>
              <c:strCache>
                <c:ptCount val="3"/>
                <c:pt idx="0">
                  <c:v>Air</c:v>
                </c:pt>
                <c:pt idx="1">
                  <c:v>Rail</c:v>
                </c:pt>
                <c:pt idx="2">
                  <c:v>Road</c:v>
                </c:pt>
              </c:strCache>
            </c:strRef>
          </c:cat>
          <c:val>
            <c:numRef>
              <c:f>Analysis!$B$75:$B$78</c:f>
              <c:numCache>
                <c:formatCode>0.000</c:formatCode>
                <c:ptCount val="3"/>
                <c:pt idx="0">
                  <c:v>1030.2988372989998</c:v>
                </c:pt>
                <c:pt idx="1">
                  <c:v>816.96999200300013</c:v>
                </c:pt>
                <c:pt idx="2">
                  <c:v>824.91903848199991</c:v>
                </c:pt>
              </c:numCache>
            </c:numRef>
          </c:val>
          <c:extLst>
            <c:ext xmlns:c16="http://schemas.microsoft.com/office/drawing/2014/chart" uri="{C3380CC4-5D6E-409C-BE32-E72D297353CC}">
              <c16:uniqueId val="{00000006-11CC-47D1-9F00-86E5E659AD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[Supply-Chain-Dirty-Dataset.xlsx]Analysis!Route by shipping cost</c:name>
    <c:fmtId val="44"/>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latin typeface="Aptos" panose="020B0004020202020204" pitchFamily="34" charset="0"/>
              </a:rPr>
              <a:t>Shipping cost by </a:t>
            </a:r>
            <a:r>
              <a:rPr lang="en-US" sz="1200" baseline="0">
                <a:latin typeface="Aptos" panose="020B0004020202020204" pitchFamily="34" charset="0"/>
              </a:rPr>
              <a:t>routes</a:t>
            </a:r>
            <a:endParaRPr lang="en-US" sz="1200">
              <a:latin typeface="Aptos" panose="020B0004020202020204" pitchFamily="34" charset="0"/>
            </a:endParaRPr>
          </a:p>
        </c:rich>
      </c:tx>
      <c:layout>
        <c:manualLayout>
          <c:xMode val="edge"/>
          <c:yMode val="edge"/>
          <c:x val="0.35015960390734335"/>
          <c:y val="3.1668119633282629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41733491500009E-2"/>
          <c:y val="0.11247015184884665"/>
          <c:w val="0.83447417959537629"/>
          <c:h val="0.78737998780647622"/>
        </c:manualLayout>
      </c:layout>
      <c:barChart>
        <c:barDir val="bar"/>
        <c:grouping val="clustered"/>
        <c:varyColors val="0"/>
        <c:ser>
          <c:idx val="0"/>
          <c:order val="0"/>
          <c:tx>
            <c:strRef>
              <c:f>Analysis!$B$3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Analysis!$A$4:$A$7</c:f>
              <c:strCache>
                <c:ptCount val="3"/>
                <c:pt idx="0">
                  <c:v>Route A</c:v>
                </c:pt>
                <c:pt idx="1">
                  <c:v>Route B</c:v>
                </c:pt>
                <c:pt idx="2">
                  <c:v>Route C</c:v>
                </c:pt>
              </c:strCache>
            </c:strRef>
          </c:cat>
          <c:val>
            <c:numRef>
              <c:f>Analysis!$B$4:$B$7</c:f>
              <c:numCache>
                <c:formatCode>0.00</c:formatCode>
                <c:ptCount val="3"/>
                <c:pt idx="0">
                  <c:v>911.66186578500003</c:v>
                </c:pt>
                <c:pt idx="1">
                  <c:v>882.6333513320003</c:v>
                </c:pt>
                <c:pt idx="2">
                  <c:v>834.07161219499994</c:v>
                </c:pt>
              </c:numCache>
            </c:numRef>
          </c:val>
          <c:extLst>
            <c:ext xmlns:c16="http://schemas.microsoft.com/office/drawing/2014/chart" uri="{C3380CC4-5D6E-409C-BE32-E72D297353CC}">
              <c16:uniqueId val="{00000000-F869-49D8-898B-E1F366EC65FD}"/>
            </c:ext>
          </c:extLst>
        </c:ser>
        <c:dLbls>
          <c:showLegendKey val="0"/>
          <c:showVal val="0"/>
          <c:showCatName val="0"/>
          <c:showSerName val="0"/>
          <c:showPercent val="0"/>
          <c:showBubbleSize val="0"/>
        </c:dLbls>
        <c:gapWidth val="326"/>
        <c:overlap val="-58"/>
        <c:axId val="253323455"/>
        <c:axId val="1423420335"/>
      </c:barChart>
      <c:catAx>
        <c:axId val="2533234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20335"/>
        <c:crosses val="autoZero"/>
        <c:auto val="1"/>
        <c:lblAlgn val="ctr"/>
        <c:lblOffset val="100"/>
        <c:noMultiLvlLbl val="0"/>
      </c:catAx>
      <c:valAx>
        <c:axId val="14234203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2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[Supply-Chain-Dirty-Dataset.xlsx]Analysis!PivotTable3</c:name>
    <c:fmtId val="28"/>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latin typeface="Aptos" panose="020B0004020202020204" pitchFamily="34" charset="0"/>
              </a:rPr>
              <a:t>Transportation Delay</a:t>
            </a:r>
            <a:r>
              <a:rPr lang="en-US" sz="1200" baseline="0">
                <a:latin typeface="Aptos" panose="020B0004020202020204" pitchFamily="34" charset="0"/>
              </a:rPr>
              <a:t> caused by Supplier</a:t>
            </a:r>
            <a:endParaRPr lang="en-US" sz="1200">
              <a:latin typeface="Aptos" panose="020B0004020202020204" pitchFamily="34" charset="0"/>
            </a:endParaRPr>
          </a:p>
        </c:rich>
      </c:tx>
      <c:layout>
        <c:manualLayout>
          <c:xMode val="edge"/>
          <c:yMode val="edge"/>
          <c:x val="0.26004374022151644"/>
          <c:y val="5.6673437614366377E-3"/>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Analysis!$A$11:$A$16</c:f>
              <c:strCache>
                <c:ptCount val="5"/>
                <c:pt idx="0">
                  <c:v>Supplier 1</c:v>
                </c:pt>
                <c:pt idx="1">
                  <c:v>Supplier 2</c:v>
                </c:pt>
                <c:pt idx="2">
                  <c:v>Supplier 3</c:v>
                </c:pt>
                <c:pt idx="3">
                  <c:v>Supplier 4</c:v>
                </c:pt>
                <c:pt idx="4">
                  <c:v>Supplier 5</c:v>
                </c:pt>
              </c:strCache>
            </c:strRef>
          </c:cat>
          <c:val>
            <c:numRef>
              <c:f>Analysis!$B$11:$B$16</c:f>
              <c:numCache>
                <c:formatCode>0.00</c:formatCode>
                <c:ptCount val="5"/>
                <c:pt idx="0">
                  <c:v>461.54302327999994</c:v>
                </c:pt>
                <c:pt idx="1">
                  <c:v>536.09367776200008</c:v>
                </c:pt>
                <c:pt idx="2">
                  <c:v>627.41472311500002</c:v>
                </c:pt>
                <c:pt idx="3">
                  <c:v>453.11314393299995</c:v>
                </c:pt>
                <c:pt idx="4">
                  <c:v>513.59675313399975</c:v>
                </c:pt>
              </c:numCache>
            </c:numRef>
          </c:val>
          <c:extLst>
            <c:ext xmlns:c16="http://schemas.microsoft.com/office/drawing/2014/chart" uri="{C3380CC4-5D6E-409C-BE32-E72D297353CC}">
              <c16:uniqueId val="{00000000-7D70-476E-9C23-3E1F2DB05C9C}"/>
            </c:ext>
          </c:extLst>
        </c:ser>
        <c:dLbls>
          <c:showLegendKey val="0"/>
          <c:showVal val="0"/>
          <c:showCatName val="0"/>
          <c:showSerName val="0"/>
          <c:showPercent val="0"/>
          <c:showBubbleSize val="0"/>
        </c:dLbls>
        <c:gapWidth val="326"/>
        <c:overlap val="-58"/>
        <c:axId val="253257103"/>
        <c:axId val="60966095"/>
      </c:barChart>
      <c:catAx>
        <c:axId val="2532571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095"/>
        <c:crosses val="autoZero"/>
        <c:auto val="1"/>
        <c:lblAlgn val="ctr"/>
        <c:lblOffset val="100"/>
        <c:noMultiLvlLbl val="0"/>
      </c:catAx>
      <c:valAx>
        <c:axId val="609660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5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[Supply-Chain-Dirty-Dataset.xlsx]Analysis!PivotTable5</c:name>
    <c:fmtId val="36"/>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latin typeface="Aptos" panose="020B0004020202020204" pitchFamily="34" charset="0"/>
              </a:rPr>
              <a:t>High defects rates linked to specific suppliers or manufacturing lead times</a:t>
            </a:r>
          </a:p>
        </c:rich>
      </c:tx>
      <c:layout>
        <c:manualLayout>
          <c:xMode val="edge"/>
          <c:yMode val="edge"/>
          <c:x val="0.19593716943185721"/>
          <c:y val="2.5135773117578888E-2"/>
        </c:manualLayout>
      </c:layout>
      <c:overlay val="0"/>
      <c:spPr>
        <a:noFill/>
        <a:ln>
          <a:noFill/>
        </a:ln>
        <a:effectLst/>
      </c:sp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1139369221040087E-2"/>
          <c:y val="0.16338936308132646"/>
          <c:w val="0.72341782907511565"/>
          <c:h val="0.75972726598977247"/>
        </c:manualLayout>
      </c:layout>
      <c:barChart>
        <c:barDir val="bar"/>
        <c:grouping val="clustered"/>
        <c:varyColors val="0"/>
        <c:ser>
          <c:idx val="0"/>
          <c:order val="0"/>
          <c:tx>
            <c:strRef>
              <c:f>Analysis!$B$32</c:f>
              <c:strCache>
                <c:ptCount val="1"/>
                <c:pt idx="0">
                  <c:v>Average of Defect rates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Analysis!$A$33:$A$38</c:f>
              <c:strCache>
                <c:ptCount val="5"/>
                <c:pt idx="0">
                  <c:v>Supplier 1</c:v>
                </c:pt>
                <c:pt idx="1">
                  <c:v>Supplier 2</c:v>
                </c:pt>
                <c:pt idx="2">
                  <c:v>Supplier 3</c:v>
                </c:pt>
                <c:pt idx="3">
                  <c:v>Supplier 4</c:v>
                </c:pt>
                <c:pt idx="4">
                  <c:v>Supplier 5</c:v>
                </c:pt>
              </c:strCache>
            </c:strRef>
          </c:cat>
          <c:val>
            <c:numRef>
              <c:f>Analysis!$B$33:$B$38</c:f>
              <c:numCache>
                <c:formatCode>0.0000</c:formatCode>
                <c:ptCount val="5"/>
                <c:pt idx="0">
                  <c:v>2.7996253694302329</c:v>
                </c:pt>
                <c:pt idx="1">
                  <c:v>2.6000047144500003</c:v>
                </c:pt>
                <c:pt idx="2">
                  <c:v>2.7222198359203529</c:v>
                </c:pt>
                <c:pt idx="3">
                  <c:v>2.3540339976666678</c:v>
                </c:pt>
                <c:pt idx="4">
                  <c:v>2.5261553421111107</c:v>
                </c:pt>
              </c:numCache>
            </c:numRef>
          </c:val>
          <c:extLst>
            <c:ext xmlns:c16="http://schemas.microsoft.com/office/drawing/2014/chart" uri="{C3380CC4-5D6E-409C-BE32-E72D297353CC}">
              <c16:uniqueId val="{00000000-E4EC-42D3-8477-3DF771931332}"/>
            </c:ext>
          </c:extLst>
        </c:ser>
        <c:ser>
          <c:idx val="1"/>
          <c:order val="1"/>
          <c:tx>
            <c:strRef>
              <c:f>Analysis!$C$32</c:f>
              <c:strCache>
                <c:ptCount val="1"/>
                <c:pt idx="0">
                  <c:v>Average of Manufacturing lead time</c:v>
                </c:pt>
              </c:strCache>
            </c:strRef>
          </c:tx>
          <c:invertIfNegative val="0"/>
          <c:cat>
            <c:strRef>
              <c:f>Analysis!$A$33:$A$38</c:f>
              <c:strCache>
                <c:ptCount val="5"/>
                <c:pt idx="0">
                  <c:v>Supplier 1</c:v>
                </c:pt>
                <c:pt idx="1">
                  <c:v>Supplier 2</c:v>
                </c:pt>
                <c:pt idx="2">
                  <c:v>Supplier 3</c:v>
                </c:pt>
                <c:pt idx="3">
                  <c:v>Supplier 4</c:v>
                </c:pt>
                <c:pt idx="4">
                  <c:v>Supplier 5</c:v>
                </c:pt>
              </c:strCache>
            </c:strRef>
          </c:cat>
          <c:val>
            <c:numRef>
              <c:f>Analysis!$C$33:$C$38</c:f>
              <c:numCache>
                <c:formatCode>General</c:formatCode>
                <c:ptCount val="5"/>
                <c:pt idx="0">
                  <c:v>14.732558139534884</c:v>
                </c:pt>
                <c:pt idx="1">
                  <c:v>14.2</c:v>
                </c:pt>
                <c:pt idx="2">
                  <c:v>14.486725663716815</c:v>
                </c:pt>
                <c:pt idx="3">
                  <c:v>16.345238095238095</c:v>
                </c:pt>
                <c:pt idx="4">
                  <c:v>14.6</c:v>
                </c:pt>
              </c:numCache>
            </c:numRef>
          </c:val>
          <c:extLst>
            <c:ext xmlns:c16="http://schemas.microsoft.com/office/drawing/2014/chart" uri="{C3380CC4-5D6E-409C-BE32-E72D297353CC}">
              <c16:uniqueId val="{00000001-E4EC-42D3-8477-3DF771931332}"/>
            </c:ext>
          </c:extLst>
        </c:ser>
        <c:dLbls>
          <c:showLegendKey val="0"/>
          <c:showVal val="0"/>
          <c:showCatName val="0"/>
          <c:showSerName val="0"/>
          <c:showPercent val="0"/>
          <c:showBubbleSize val="0"/>
        </c:dLbls>
        <c:gapWidth val="326"/>
        <c:overlap val="-58"/>
        <c:axId val="253257103"/>
        <c:axId val="60966095"/>
      </c:barChart>
      <c:catAx>
        <c:axId val="2532571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095"/>
        <c:crosses val="autoZero"/>
        <c:auto val="1"/>
        <c:lblAlgn val="ctr"/>
        <c:lblOffset val="100"/>
        <c:noMultiLvlLbl val="0"/>
      </c:catAx>
      <c:valAx>
        <c:axId val="60966095"/>
        <c:scaling>
          <c:orientation val="minMax"/>
        </c:scaling>
        <c:delete val="0"/>
        <c:axPos val="b"/>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57103"/>
        <c:crosses val="autoZero"/>
        <c:crossBetween val="between"/>
      </c:valAx>
    </c:plotArea>
    <c:legend>
      <c:legendPos val="r"/>
      <c:layout>
        <c:manualLayout>
          <c:xMode val="edge"/>
          <c:yMode val="edge"/>
          <c:x val="0.8460724663117456"/>
          <c:y val="0.44125566412631273"/>
          <c:w val="0.14331333071460611"/>
          <c:h val="0.2212226892817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[Supply-Chain-Dirty-Dataset.xlsx]Analysis!PivotTable6</c:name>
    <c:fmtId val="2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latin typeface="Aptos" panose="020B0004020202020204" pitchFamily="34" charset="0"/>
              </a:rPr>
              <a:t>Profitabilty</a:t>
            </a:r>
            <a:r>
              <a:rPr lang="en-US" sz="1200" b="1" baseline="0">
                <a:latin typeface="Aptos" panose="020B0004020202020204" pitchFamily="34" charset="0"/>
              </a:rPr>
              <a:t> by product in ascending order</a:t>
            </a:r>
            <a:endParaRPr lang="en-US" sz="12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83203035932856E-2"/>
          <c:y val="0.17266612619811408"/>
          <c:w val="0.89213452877689081"/>
          <c:h val="0.76384433471295032"/>
        </c:manualLayout>
      </c:layout>
      <c:barChart>
        <c:barDir val="col"/>
        <c:grouping val="clustered"/>
        <c:varyColors val="0"/>
        <c:ser>
          <c:idx val="0"/>
          <c:order val="0"/>
          <c:tx>
            <c:strRef>
              <c:f>Analysis!$B$42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Analysis!$A$43:$A$53</c:f>
              <c:strCache>
                <c:ptCount val="10"/>
                <c:pt idx="0">
                  <c:v>SKU198</c:v>
                </c:pt>
                <c:pt idx="1">
                  <c:v>SKU146</c:v>
                </c:pt>
                <c:pt idx="2">
                  <c:v>SKU393</c:v>
                </c:pt>
                <c:pt idx="3">
                  <c:v>SKU208</c:v>
                </c:pt>
                <c:pt idx="4">
                  <c:v>SKU378</c:v>
                </c:pt>
                <c:pt idx="5">
                  <c:v>SKU275</c:v>
                </c:pt>
                <c:pt idx="6">
                  <c:v>SKU40</c:v>
                </c:pt>
                <c:pt idx="7">
                  <c:v>SKU223</c:v>
                </c:pt>
                <c:pt idx="8">
                  <c:v>SKU43</c:v>
                </c:pt>
                <c:pt idx="9">
                  <c:v>SKU267</c:v>
                </c:pt>
              </c:strCache>
            </c:strRef>
          </c:cat>
          <c:val>
            <c:numRef>
              <c:f>Analysis!$B$43:$B$53</c:f>
              <c:numCache>
                <c:formatCode>0.000</c:formatCode>
                <c:ptCount val="10"/>
                <c:pt idx="0">
                  <c:v>976.02035283400005</c:v>
                </c:pt>
                <c:pt idx="1">
                  <c:v>968.79876385199998</c:v>
                </c:pt>
                <c:pt idx="2">
                  <c:v>960.14858457299999</c:v>
                </c:pt>
                <c:pt idx="3">
                  <c:v>956.35533908399998</c:v>
                </c:pt>
                <c:pt idx="4">
                  <c:v>948.35676173999991</c:v>
                </c:pt>
                <c:pt idx="5">
                  <c:v>945.72638379600005</c:v>
                </c:pt>
                <c:pt idx="6">
                  <c:v>944.76048504100004</c:v>
                </c:pt>
                <c:pt idx="7">
                  <c:v>939.72146825400011</c:v>
                </c:pt>
                <c:pt idx="8">
                  <c:v>929.50840539300009</c:v>
                </c:pt>
                <c:pt idx="9">
                  <c:v>929.40765167300003</c:v>
                </c:pt>
              </c:numCache>
            </c:numRef>
          </c:val>
          <c:extLst>
            <c:ext xmlns:c16="http://schemas.microsoft.com/office/drawing/2014/chart" uri="{C3380CC4-5D6E-409C-BE32-E72D297353CC}">
              <c16:uniqueId val="{00000000-5DA3-429D-B18C-52343761FF97}"/>
            </c:ext>
          </c:extLst>
        </c:ser>
        <c:dLbls>
          <c:showLegendKey val="0"/>
          <c:showVal val="0"/>
          <c:showCatName val="0"/>
          <c:showSerName val="0"/>
          <c:showPercent val="0"/>
          <c:showBubbleSize val="0"/>
        </c:dLbls>
        <c:gapWidth val="100"/>
        <c:overlap val="-24"/>
        <c:axId val="2112324447"/>
        <c:axId val="2091211631"/>
      </c:barChart>
      <c:catAx>
        <c:axId val="211232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91211631"/>
        <c:crosses val="autoZero"/>
        <c:auto val="1"/>
        <c:lblAlgn val="ctr"/>
        <c:lblOffset val="100"/>
        <c:noMultiLvlLbl val="0"/>
      </c:catAx>
      <c:valAx>
        <c:axId val="209121163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232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[Supply-Chain-Dirty-Dataset.xlsx]Analysis!PivotTable8</c:name>
    <c:fmtId val="2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i="0" u="none" strike="noStrike" kern="1200" cap="none" spc="20" baseline="0">
                <a:solidFill>
                  <a:srgbClr val="000000">
                    <a:lumMod val="50000"/>
                    <a:lumOff val="50000"/>
                  </a:srgbClr>
                </a:solidFill>
                <a:latin typeface="Aptos" panose="020B0004020202020204" pitchFamily="34" charset="0"/>
              </a:rPr>
              <a:t>Profitabilty by product in descending order</a:t>
            </a:r>
            <a:endParaRPr lang="en-US" sz="12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Analysis!$A$58:$A$68</c:f>
              <c:strCache>
                <c:ptCount val="10"/>
                <c:pt idx="0">
                  <c:v>SKU167</c:v>
                </c:pt>
                <c:pt idx="1">
                  <c:v>SKU169</c:v>
                </c:pt>
                <c:pt idx="2">
                  <c:v>SKU177</c:v>
                </c:pt>
                <c:pt idx="3">
                  <c:v>SKU184</c:v>
                </c:pt>
                <c:pt idx="4">
                  <c:v>SKU271</c:v>
                </c:pt>
                <c:pt idx="5">
                  <c:v>SKU299</c:v>
                </c:pt>
                <c:pt idx="6">
                  <c:v>SKU347</c:v>
                </c:pt>
                <c:pt idx="7">
                  <c:v>SKU371</c:v>
                </c:pt>
                <c:pt idx="8">
                  <c:v>SKU5</c:v>
                </c:pt>
                <c:pt idx="9">
                  <c:v>SKU61</c:v>
                </c:pt>
              </c:strCache>
            </c:strRef>
          </c:cat>
          <c:val>
            <c:numRef>
              <c:f>Analysis!$B$58:$B$68</c:f>
              <c:numCache>
                <c:formatCode>0.000</c:formatCode>
                <c:ptCount val="10"/>
                <c:pt idx="0">
                  <c:v>35.763232395999992</c:v>
                </c:pt>
                <c:pt idx="1">
                  <c:v>29.599826192000009</c:v>
                </c:pt>
                <c:pt idx="2">
                  <c:v>56.525176751000018</c:v>
                </c:pt>
                <c:pt idx="3">
                  <c:v>15.620342644999994</c:v>
                </c:pt>
                <c:pt idx="4">
                  <c:v>31.963765433999995</c:v>
                </c:pt>
                <c:pt idx="5">
                  <c:v>29.637530827999996</c:v>
                </c:pt>
                <c:pt idx="6">
                  <c:v>57.265953816999989</c:v>
                </c:pt>
                <c:pt idx="7">
                  <c:v>46.896082501999999</c:v>
                </c:pt>
                <c:pt idx="8">
                  <c:v>32.672640130999994</c:v>
                </c:pt>
                <c:pt idx="9">
                  <c:v>10.080273851000001</c:v>
                </c:pt>
              </c:numCache>
            </c:numRef>
          </c:val>
          <c:extLst>
            <c:ext xmlns:c16="http://schemas.microsoft.com/office/drawing/2014/chart" uri="{C3380CC4-5D6E-409C-BE32-E72D297353CC}">
              <c16:uniqueId val="{00000000-03A6-48C9-B82F-473F1E01B8DC}"/>
            </c:ext>
          </c:extLst>
        </c:ser>
        <c:dLbls>
          <c:showLegendKey val="0"/>
          <c:showVal val="0"/>
          <c:showCatName val="0"/>
          <c:showSerName val="0"/>
          <c:showPercent val="0"/>
          <c:showBubbleSize val="0"/>
        </c:dLbls>
        <c:gapWidth val="100"/>
        <c:overlap val="-24"/>
        <c:axId val="459589871"/>
        <c:axId val="2091359951"/>
      </c:barChart>
      <c:catAx>
        <c:axId val="45958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91359951"/>
        <c:crosses val="autoZero"/>
        <c:auto val="1"/>
        <c:lblAlgn val="ctr"/>
        <c:lblOffset val="100"/>
        <c:noMultiLvlLbl val="0"/>
      </c:catAx>
      <c:valAx>
        <c:axId val="209135995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958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[Supply-Chain-Dirty-Dataset.xlsx]Analysis!PivotTable9</c:name>
    <c:fmtId val="3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Correlation between transportation mode and shipping cost</a:t>
            </a:r>
          </a:p>
        </c:rich>
      </c:tx>
      <c:layout>
        <c:manualLayout>
          <c:xMode val="edge"/>
          <c:yMode val="edge"/>
          <c:x val="0.22066037646359918"/>
          <c:y val="1.9748772315914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Analysis!$B$74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F1-47D8-8583-FBE079D02F2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F1-47D8-8583-FBE079D02F2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F1-47D8-8583-FBE079D02F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Analysis!$A$75:$A$78</c:f>
              <c:strCache>
                <c:ptCount val="3"/>
                <c:pt idx="0">
                  <c:v>Air</c:v>
                </c:pt>
                <c:pt idx="1">
                  <c:v>Rail</c:v>
                </c:pt>
                <c:pt idx="2">
                  <c:v>Road</c:v>
                </c:pt>
              </c:strCache>
            </c:strRef>
          </c:cat>
          <c:val>
            <c:numRef>
              <c:f>Analysis!$B$75:$B$78</c:f>
              <c:numCache>
                <c:formatCode>0.000</c:formatCode>
                <c:ptCount val="3"/>
                <c:pt idx="0">
                  <c:v>1030.2988372989998</c:v>
                </c:pt>
                <c:pt idx="1">
                  <c:v>816.96999200300013</c:v>
                </c:pt>
                <c:pt idx="2">
                  <c:v>824.91903848199991</c:v>
                </c:pt>
              </c:numCache>
            </c:numRef>
          </c:val>
          <c:extLst>
            <c:ext xmlns:c16="http://schemas.microsoft.com/office/drawing/2014/chart" uri="{C3380CC4-5D6E-409C-BE32-E72D297353CC}">
              <c16:uniqueId val="{00000006-9FF1-47D8-8583-FBE079D02F2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Charts!A1"/><Relationship Id="rId3" Type="http://schemas.openxmlformats.org/officeDocument/2006/relationships/chart" Target="../charts/chart9.xml"/><Relationship Id="rId7" Type="http://schemas.openxmlformats.org/officeDocument/2006/relationships/hyperlink" Target="#Analysis!A1"/><Relationship Id="rId12" Type="http://schemas.openxmlformats.org/officeDocument/2006/relationships/image" Target="../media/image4.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5" Type="http://schemas.openxmlformats.org/officeDocument/2006/relationships/image" Target="../media/image6.svg"/><Relationship Id="rId10" Type="http://schemas.openxmlformats.org/officeDocument/2006/relationships/hyperlink" Target="#Dataset!A1"/><Relationship Id="rId4" Type="http://schemas.openxmlformats.org/officeDocument/2006/relationships/chart" Target="../charts/chart10.xml"/><Relationship Id="rId9" Type="http://schemas.openxmlformats.org/officeDocument/2006/relationships/image" Target="../media/image2.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9</xdr:col>
      <xdr:colOff>407112</xdr:colOff>
      <xdr:row>17</xdr:row>
      <xdr:rowOff>105508</xdr:rowOff>
    </xdr:to>
    <xdr:graphicFrame macro="">
      <xdr:nvGraphicFramePr>
        <xdr:cNvPr id="9" name="Chart 8">
          <a:extLst>
            <a:ext uri="{FF2B5EF4-FFF2-40B4-BE49-F238E27FC236}">
              <a16:creationId xmlns:a16="http://schemas.microsoft.com/office/drawing/2014/main" id="{F6215C36-C7AB-45E8-89CE-4E89E11EC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544286</xdr:colOff>
      <xdr:row>3</xdr:row>
      <xdr:rowOff>20934</xdr:rowOff>
    </xdr:from>
    <xdr:to>
      <xdr:col>18</xdr:col>
      <xdr:colOff>259583</xdr:colOff>
      <xdr:row>17</xdr:row>
      <xdr:rowOff>126442</xdr:rowOff>
    </xdr:to>
    <xdr:graphicFrame macro="">
      <xdr:nvGraphicFramePr>
        <xdr:cNvPr id="10" name="Chart 9">
          <a:extLst>
            <a:ext uri="{FF2B5EF4-FFF2-40B4-BE49-F238E27FC236}">
              <a16:creationId xmlns:a16="http://schemas.microsoft.com/office/drawing/2014/main" id="{02FDBD07-CDCB-40F7-9E5A-DE38FD153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19</xdr:row>
      <xdr:rowOff>177940</xdr:rowOff>
    </xdr:from>
    <xdr:to>
      <xdr:col>14</xdr:col>
      <xdr:colOff>74261</xdr:colOff>
      <xdr:row>40</xdr:row>
      <xdr:rowOff>10467</xdr:rowOff>
    </xdr:to>
    <xdr:graphicFrame macro="">
      <xdr:nvGraphicFramePr>
        <xdr:cNvPr id="11" name="Chart 10">
          <a:extLst>
            <a:ext uri="{FF2B5EF4-FFF2-40B4-BE49-F238E27FC236}">
              <a16:creationId xmlns:a16="http://schemas.microsoft.com/office/drawing/2014/main" id="{629CD098-3587-4E4A-B0F2-696E7B0B5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31401</xdr:colOff>
      <xdr:row>43</xdr:row>
      <xdr:rowOff>41867</xdr:rowOff>
    </xdr:from>
    <xdr:to>
      <xdr:col>9</xdr:col>
      <xdr:colOff>353786</xdr:colOff>
      <xdr:row>57</xdr:row>
      <xdr:rowOff>147375</xdr:rowOff>
    </xdr:to>
    <xdr:graphicFrame macro="">
      <xdr:nvGraphicFramePr>
        <xdr:cNvPr id="12" name="Chart 11">
          <a:extLst>
            <a:ext uri="{FF2B5EF4-FFF2-40B4-BE49-F238E27FC236}">
              <a16:creationId xmlns:a16="http://schemas.microsoft.com/office/drawing/2014/main" id="{C373F137-8038-46D3-AAF8-897506243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136072</xdr:colOff>
      <xdr:row>41</xdr:row>
      <xdr:rowOff>157005</xdr:rowOff>
    </xdr:from>
    <xdr:to>
      <xdr:col>18</xdr:col>
      <xdr:colOff>458457</xdr:colOff>
      <xdr:row>56</xdr:row>
      <xdr:rowOff>74106</xdr:rowOff>
    </xdr:to>
    <xdr:graphicFrame macro="">
      <xdr:nvGraphicFramePr>
        <xdr:cNvPr id="13" name="Chart 12">
          <a:extLst>
            <a:ext uri="{FF2B5EF4-FFF2-40B4-BE49-F238E27FC236}">
              <a16:creationId xmlns:a16="http://schemas.microsoft.com/office/drawing/2014/main" id="{147B5E43-C8D4-406C-B1FE-EC81AE42D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61</xdr:row>
      <xdr:rowOff>0</xdr:rowOff>
    </xdr:from>
    <xdr:to>
      <xdr:col>9</xdr:col>
      <xdr:colOff>322385</xdr:colOff>
      <xdr:row>76</xdr:row>
      <xdr:rowOff>114620</xdr:rowOff>
    </xdr:to>
    <xdr:graphicFrame macro="">
      <xdr:nvGraphicFramePr>
        <xdr:cNvPr id="14" name="Chart 13">
          <a:extLst>
            <a:ext uri="{FF2B5EF4-FFF2-40B4-BE49-F238E27FC236}">
              <a16:creationId xmlns:a16="http://schemas.microsoft.com/office/drawing/2014/main" id="{E34B1E67-37C7-4D1F-8EB6-13E22DFA8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158260</xdr:colOff>
      <xdr:row>2</xdr:row>
      <xdr:rowOff>26376</xdr:rowOff>
    </xdr:from>
    <xdr:to>
      <xdr:col>5</xdr:col>
      <xdr:colOff>460130</xdr:colOff>
      <xdr:row>5</xdr:row>
      <xdr:rowOff>187569</xdr:rowOff>
    </xdr:to>
    <xdr:sp macro="" textlink="">
      <xdr:nvSpPr>
        <xdr:cNvPr id="41" name="Rectangle: Rounded Corners 40">
          <a:extLst>
            <a:ext uri="{FF2B5EF4-FFF2-40B4-BE49-F238E27FC236}">
              <a16:creationId xmlns:a16="http://schemas.microsoft.com/office/drawing/2014/main" id="{00794EEC-B059-4B27-C730-D60B480E98A0}"/>
            </a:ext>
          </a:extLst>
        </xdr:cNvPr>
        <xdr:cNvSpPr/>
      </xdr:nvSpPr>
      <xdr:spPr>
        <a:xfrm>
          <a:off x="2620106" y="407376"/>
          <a:ext cx="917332" cy="805962"/>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386861</xdr:colOff>
      <xdr:row>2</xdr:row>
      <xdr:rowOff>0</xdr:rowOff>
    </xdr:from>
    <xdr:to>
      <xdr:col>4</xdr:col>
      <xdr:colOff>73270</xdr:colOff>
      <xdr:row>5</xdr:row>
      <xdr:rowOff>181709</xdr:rowOff>
    </xdr:to>
    <xdr:sp macro="" textlink="">
      <xdr:nvSpPr>
        <xdr:cNvPr id="38" name="Rectangle: Rounded Corners 37">
          <a:extLst>
            <a:ext uri="{FF2B5EF4-FFF2-40B4-BE49-F238E27FC236}">
              <a16:creationId xmlns:a16="http://schemas.microsoft.com/office/drawing/2014/main" id="{17B10502-EE8B-5421-C3CC-A607979DD5A9}"/>
            </a:ext>
          </a:extLst>
        </xdr:cNvPr>
        <xdr:cNvSpPr/>
      </xdr:nvSpPr>
      <xdr:spPr>
        <a:xfrm>
          <a:off x="1617784" y="381000"/>
          <a:ext cx="917332" cy="826478"/>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29306</xdr:colOff>
      <xdr:row>1</xdr:row>
      <xdr:rowOff>175846</xdr:rowOff>
    </xdr:from>
    <xdr:to>
      <xdr:col>2</xdr:col>
      <xdr:colOff>293077</xdr:colOff>
      <xdr:row>5</xdr:row>
      <xdr:rowOff>175846</xdr:rowOff>
    </xdr:to>
    <xdr:sp macro="" textlink="">
      <xdr:nvSpPr>
        <xdr:cNvPr id="35" name="Rectangle: Rounded Corners 34">
          <a:extLst>
            <a:ext uri="{FF2B5EF4-FFF2-40B4-BE49-F238E27FC236}">
              <a16:creationId xmlns:a16="http://schemas.microsoft.com/office/drawing/2014/main" id="{FF12AB0F-0D7E-C771-033D-FD6FE16A8545}"/>
            </a:ext>
          </a:extLst>
        </xdr:cNvPr>
        <xdr:cNvSpPr/>
      </xdr:nvSpPr>
      <xdr:spPr>
        <a:xfrm>
          <a:off x="644768" y="366346"/>
          <a:ext cx="879232" cy="835269"/>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582171</xdr:colOff>
      <xdr:row>33</xdr:row>
      <xdr:rowOff>73268</xdr:rowOff>
    </xdr:from>
    <xdr:to>
      <xdr:col>44</xdr:col>
      <xdr:colOff>307730</xdr:colOff>
      <xdr:row>59</xdr:row>
      <xdr:rowOff>43961</xdr:rowOff>
    </xdr:to>
    <xdr:sp macro="" textlink="">
      <xdr:nvSpPr>
        <xdr:cNvPr id="30" name="Rectangle: Rounded Corners 29">
          <a:extLst>
            <a:ext uri="{FF2B5EF4-FFF2-40B4-BE49-F238E27FC236}">
              <a16:creationId xmlns:a16="http://schemas.microsoft.com/office/drawing/2014/main" id="{1FA06D36-7809-6E38-B46E-787993FAF0C2}"/>
            </a:ext>
          </a:extLst>
        </xdr:cNvPr>
        <xdr:cNvSpPr/>
      </xdr:nvSpPr>
      <xdr:spPr>
        <a:xfrm>
          <a:off x="19661479" y="6433037"/>
          <a:ext cx="7726559" cy="4923693"/>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268580</xdr:colOff>
      <xdr:row>33</xdr:row>
      <xdr:rowOff>43961</xdr:rowOff>
    </xdr:from>
    <xdr:to>
      <xdr:col>31</xdr:col>
      <xdr:colOff>397400</xdr:colOff>
      <xdr:row>59</xdr:row>
      <xdr:rowOff>146538</xdr:rowOff>
    </xdr:to>
    <xdr:sp macro="" textlink="">
      <xdr:nvSpPr>
        <xdr:cNvPr id="29" name="Rectangle: Rounded Corners 28">
          <a:extLst>
            <a:ext uri="{FF2B5EF4-FFF2-40B4-BE49-F238E27FC236}">
              <a16:creationId xmlns:a16="http://schemas.microsoft.com/office/drawing/2014/main" id="{7CDC91C1-02C3-BB97-4899-BEB4B3EE6C77}"/>
            </a:ext>
          </a:extLst>
        </xdr:cNvPr>
        <xdr:cNvSpPr/>
      </xdr:nvSpPr>
      <xdr:spPr>
        <a:xfrm>
          <a:off x="11962349" y="6403730"/>
          <a:ext cx="7514359" cy="5055577"/>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370353</xdr:colOff>
      <xdr:row>33</xdr:row>
      <xdr:rowOff>87922</xdr:rowOff>
    </xdr:from>
    <xdr:to>
      <xdr:col>19</xdr:col>
      <xdr:colOff>97383</xdr:colOff>
      <xdr:row>59</xdr:row>
      <xdr:rowOff>161193</xdr:rowOff>
    </xdr:to>
    <xdr:sp macro="" textlink="">
      <xdr:nvSpPr>
        <xdr:cNvPr id="28" name="Rectangle: Rounded Corners 27">
          <a:extLst>
            <a:ext uri="{FF2B5EF4-FFF2-40B4-BE49-F238E27FC236}">
              <a16:creationId xmlns:a16="http://schemas.microsoft.com/office/drawing/2014/main" id="{2B491A69-FB62-5E5B-04B3-F7A07E366330}"/>
            </a:ext>
          </a:extLst>
        </xdr:cNvPr>
        <xdr:cNvSpPr/>
      </xdr:nvSpPr>
      <xdr:spPr>
        <a:xfrm>
          <a:off x="4063122" y="6447691"/>
          <a:ext cx="7728030" cy="5026271"/>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571500</xdr:colOff>
      <xdr:row>10</xdr:row>
      <xdr:rowOff>14654</xdr:rowOff>
    </xdr:from>
    <xdr:to>
      <xdr:col>44</xdr:col>
      <xdr:colOff>190499</xdr:colOff>
      <xdr:row>32</xdr:row>
      <xdr:rowOff>87923</xdr:rowOff>
    </xdr:to>
    <xdr:sp macro="" textlink="">
      <xdr:nvSpPr>
        <xdr:cNvPr id="27" name="Rectangle: Rounded Corners 26">
          <a:extLst>
            <a:ext uri="{FF2B5EF4-FFF2-40B4-BE49-F238E27FC236}">
              <a16:creationId xmlns:a16="http://schemas.microsoft.com/office/drawing/2014/main" id="{3A2AAD72-F5BC-46A8-DDAF-F1C0AE6E9B3E}"/>
            </a:ext>
          </a:extLst>
        </xdr:cNvPr>
        <xdr:cNvSpPr/>
      </xdr:nvSpPr>
      <xdr:spPr>
        <a:xfrm>
          <a:off x="19650808" y="1992923"/>
          <a:ext cx="7619999" cy="4264269"/>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190499</xdr:colOff>
      <xdr:row>10</xdr:row>
      <xdr:rowOff>43962</xdr:rowOff>
    </xdr:from>
    <xdr:to>
      <xdr:col>31</xdr:col>
      <xdr:colOff>395654</xdr:colOff>
      <xdr:row>32</xdr:row>
      <xdr:rowOff>43961</xdr:rowOff>
    </xdr:to>
    <xdr:sp macro="" textlink="">
      <xdr:nvSpPr>
        <xdr:cNvPr id="26" name="Rectangle: Rounded Corners 25">
          <a:extLst>
            <a:ext uri="{FF2B5EF4-FFF2-40B4-BE49-F238E27FC236}">
              <a16:creationId xmlns:a16="http://schemas.microsoft.com/office/drawing/2014/main" id="{9E001583-C43F-51CD-ACEE-FBDE3B28D310}"/>
            </a:ext>
          </a:extLst>
        </xdr:cNvPr>
        <xdr:cNvSpPr/>
      </xdr:nvSpPr>
      <xdr:spPr>
        <a:xfrm>
          <a:off x="11884268" y="2022231"/>
          <a:ext cx="7590694" cy="4190999"/>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417727</xdr:colOff>
      <xdr:row>10</xdr:row>
      <xdr:rowOff>73269</xdr:rowOff>
    </xdr:from>
    <xdr:to>
      <xdr:col>19</xdr:col>
      <xdr:colOff>14654</xdr:colOff>
      <xdr:row>32</xdr:row>
      <xdr:rowOff>102577</xdr:rowOff>
    </xdr:to>
    <xdr:sp macro="" textlink="">
      <xdr:nvSpPr>
        <xdr:cNvPr id="25" name="Rectangle: Rounded Corners 24">
          <a:extLst>
            <a:ext uri="{FF2B5EF4-FFF2-40B4-BE49-F238E27FC236}">
              <a16:creationId xmlns:a16="http://schemas.microsoft.com/office/drawing/2014/main" id="{C7439E53-6DFF-B350-E419-F769D697BA00}"/>
            </a:ext>
          </a:extLst>
        </xdr:cNvPr>
        <xdr:cNvSpPr/>
      </xdr:nvSpPr>
      <xdr:spPr>
        <a:xfrm>
          <a:off x="4110496" y="2051538"/>
          <a:ext cx="7597927" cy="4220308"/>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238125</xdr:colOff>
      <xdr:row>13</xdr:row>
      <xdr:rowOff>123825</xdr:rowOff>
    </xdr:from>
    <xdr:ext cx="184731" cy="264560"/>
    <xdr:sp macro="" textlink="">
      <xdr:nvSpPr>
        <xdr:cNvPr id="2" name="TextBox 1">
          <a:extLst>
            <a:ext uri="{FF2B5EF4-FFF2-40B4-BE49-F238E27FC236}">
              <a16:creationId xmlns:a16="http://schemas.microsoft.com/office/drawing/2014/main" id="{843DC1B9-2AA6-61B6-39CC-EEEEF42B79CA}"/>
            </a:ext>
          </a:extLst>
        </xdr:cNvPr>
        <xdr:cNvSpPr txBox="1"/>
      </xdr:nvSpPr>
      <xdr:spPr>
        <a:xfrm>
          <a:off x="7553325" y="2600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15</xdr:col>
      <xdr:colOff>323850</xdr:colOff>
      <xdr:row>2</xdr:row>
      <xdr:rowOff>142875</xdr:rowOff>
    </xdr:from>
    <xdr:ext cx="184731" cy="264560"/>
    <xdr:sp macro="" textlink="">
      <xdr:nvSpPr>
        <xdr:cNvPr id="3" name="TextBox 2">
          <a:extLst>
            <a:ext uri="{FF2B5EF4-FFF2-40B4-BE49-F238E27FC236}">
              <a16:creationId xmlns:a16="http://schemas.microsoft.com/office/drawing/2014/main" id="{5F2DCC87-285D-FDAB-999B-3330339EC525}"/>
            </a:ext>
          </a:extLst>
        </xdr:cNvPr>
        <xdr:cNvSpPr txBox="1"/>
      </xdr:nvSpPr>
      <xdr:spPr>
        <a:xfrm>
          <a:off x="9467850" y="5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12</xdr:col>
      <xdr:colOff>590550</xdr:colOff>
      <xdr:row>15</xdr:row>
      <xdr:rowOff>171450</xdr:rowOff>
    </xdr:from>
    <xdr:ext cx="184731" cy="264560"/>
    <xdr:sp macro="" textlink="">
      <xdr:nvSpPr>
        <xdr:cNvPr id="4" name="TextBox 3">
          <a:extLst>
            <a:ext uri="{FF2B5EF4-FFF2-40B4-BE49-F238E27FC236}">
              <a16:creationId xmlns:a16="http://schemas.microsoft.com/office/drawing/2014/main" id="{4AD273D3-91B7-A36A-EF99-455FF0AB3155}"/>
            </a:ext>
          </a:extLst>
        </xdr:cNvPr>
        <xdr:cNvSpPr txBox="1"/>
      </xdr:nvSpPr>
      <xdr:spPr>
        <a:xfrm>
          <a:off x="7905750" y="3105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581024</xdr:colOff>
      <xdr:row>0</xdr:row>
      <xdr:rowOff>180975</xdr:rowOff>
    </xdr:from>
    <xdr:ext cx="23011669" cy="657225"/>
    <xdr:sp macro="" textlink="">
      <xdr:nvSpPr>
        <xdr:cNvPr id="5" name="TextBox 4">
          <a:extLst>
            <a:ext uri="{FF2B5EF4-FFF2-40B4-BE49-F238E27FC236}">
              <a16:creationId xmlns:a16="http://schemas.microsoft.com/office/drawing/2014/main" id="{D27AD418-D21E-1B60-29A8-434865F3B887}"/>
            </a:ext>
          </a:extLst>
        </xdr:cNvPr>
        <xdr:cNvSpPr txBox="1"/>
      </xdr:nvSpPr>
      <xdr:spPr>
        <a:xfrm>
          <a:off x="4273793" y="180975"/>
          <a:ext cx="23011669" cy="657225"/>
        </a:xfrm>
        <a:prstGeom prst="roundRect">
          <a:avLst/>
        </a:prstGeom>
        <a:solidFill>
          <a:schemeClr val="bg2">
            <a:lumMod val="85000"/>
          </a:schemeClr>
        </a:solidFill>
        <a:ln>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400" b="1">
              <a:solidFill>
                <a:sysClr val="windowText" lastClr="000000"/>
              </a:solidFill>
              <a:latin typeface="Aptos" panose="020B0004020202020204" pitchFamily="34" charset="0"/>
            </a:rPr>
            <a:t>UNIQUEXCEL</a:t>
          </a:r>
          <a:r>
            <a:rPr lang="en-US" sz="4400" b="1" baseline="0">
              <a:solidFill>
                <a:sysClr val="windowText" lastClr="000000"/>
              </a:solidFill>
              <a:latin typeface="Aptos" panose="020B0004020202020204" pitchFamily="34" charset="0"/>
            </a:rPr>
            <a:t> SUPPLY CHAIN DASHBOARD</a:t>
          </a:r>
          <a:endParaRPr lang="en-US" sz="4400" b="1">
            <a:solidFill>
              <a:sysClr val="windowText" lastClr="000000"/>
            </a:solidFill>
            <a:latin typeface="Aptos" panose="020B0004020202020204" pitchFamily="34" charset="0"/>
          </a:endParaRPr>
        </a:p>
      </xdr:txBody>
    </xdr:sp>
    <xdr:clientData/>
  </xdr:oneCellAnchor>
  <xdr:twoCellAnchor>
    <xdr:from>
      <xdr:col>6</xdr:col>
      <xdr:colOff>571500</xdr:colOff>
      <xdr:row>4</xdr:row>
      <xdr:rowOff>142143</xdr:rowOff>
    </xdr:from>
    <xdr:to>
      <xdr:col>14</xdr:col>
      <xdr:colOff>556847</xdr:colOff>
      <xdr:row>8</xdr:row>
      <xdr:rowOff>161193</xdr:rowOff>
    </xdr:to>
    <xdr:sp macro="" textlink="">
      <xdr:nvSpPr>
        <xdr:cNvPr id="6" name="Rectangle: Rounded Corners 5">
          <a:extLst>
            <a:ext uri="{FF2B5EF4-FFF2-40B4-BE49-F238E27FC236}">
              <a16:creationId xmlns:a16="http://schemas.microsoft.com/office/drawing/2014/main" id="{2309A3D8-56FC-D25B-E1CE-F0BF470168F0}"/>
            </a:ext>
          </a:extLst>
        </xdr:cNvPr>
        <xdr:cNvSpPr/>
      </xdr:nvSpPr>
      <xdr:spPr>
        <a:xfrm>
          <a:off x="4264269" y="977412"/>
          <a:ext cx="4909040" cy="78105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ptos" panose="020B0004020202020204" pitchFamily="34" charset="0"/>
            </a:rPr>
            <a:t>Total Product</a:t>
          </a:r>
        </a:p>
      </xdr:txBody>
    </xdr:sp>
    <xdr:clientData/>
  </xdr:twoCellAnchor>
  <xdr:twoCellAnchor>
    <xdr:from>
      <xdr:col>33</xdr:col>
      <xdr:colOff>293077</xdr:colOff>
      <xdr:row>4</xdr:row>
      <xdr:rowOff>186103</xdr:rowOff>
    </xdr:from>
    <xdr:to>
      <xdr:col>44</xdr:col>
      <xdr:colOff>219807</xdr:colOff>
      <xdr:row>8</xdr:row>
      <xdr:rowOff>176578</xdr:rowOff>
    </xdr:to>
    <xdr:sp macro="" textlink="">
      <xdr:nvSpPr>
        <xdr:cNvPr id="7" name="Rectangle: Rounded Corners 6">
          <a:extLst>
            <a:ext uri="{FF2B5EF4-FFF2-40B4-BE49-F238E27FC236}">
              <a16:creationId xmlns:a16="http://schemas.microsoft.com/office/drawing/2014/main" id="{CBF6A0C5-1DD7-D1F4-5FE2-F4EB91AE8CF0}"/>
            </a:ext>
          </a:extLst>
        </xdr:cNvPr>
        <xdr:cNvSpPr/>
      </xdr:nvSpPr>
      <xdr:spPr>
        <a:xfrm>
          <a:off x="20603308" y="1021372"/>
          <a:ext cx="6696807" cy="752475"/>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ptos" panose="020B0004020202020204" pitchFamily="34" charset="0"/>
            </a:rPr>
            <a:t>Total</a:t>
          </a:r>
          <a:r>
            <a:rPr lang="en-US" sz="1600" b="1" baseline="0">
              <a:solidFill>
                <a:sysClr val="windowText" lastClr="000000"/>
              </a:solidFill>
              <a:latin typeface="Aptos" panose="020B0004020202020204" pitchFamily="34" charset="0"/>
            </a:rPr>
            <a:t>  Profitability</a:t>
          </a:r>
          <a:endParaRPr lang="en-US" sz="1600" b="1">
            <a:solidFill>
              <a:sysClr val="windowText" lastClr="000000"/>
            </a:solidFill>
            <a:latin typeface="Aptos" panose="020B0004020202020204" pitchFamily="34" charset="0"/>
          </a:endParaRPr>
        </a:p>
      </xdr:txBody>
    </xdr:sp>
    <xdr:clientData/>
  </xdr:twoCellAnchor>
  <xdr:twoCellAnchor>
    <xdr:from>
      <xdr:col>23</xdr:col>
      <xdr:colOff>512885</xdr:colOff>
      <xdr:row>4</xdr:row>
      <xdr:rowOff>171451</xdr:rowOff>
    </xdr:from>
    <xdr:to>
      <xdr:col>33</xdr:col>
      <xdr:colOff>43961</xdr:colOff>
      <xdr:row>8</xdr:row>
      <xdr:rowOff>171451</xdr:rowOff>
    </xdr:to>
    <xdr:sp macro="" textlink="">
      <xdr:nvSpPr>
        <xdr:cNvPr id="8" name="Rectangle: Rounded Corners 7">
          <a:extLst>
            <a:ext uri="{FF2B5EF4-FFF2-40B4-BE49-F238E27FC236}">
              <a16:creationId xmlns:a16="http://schemas.microsoft.com/office/drawing/2014/main" id="{5ABD4C6D-273C-6FBA-121F-F8CC50085F7C}"/>
            </a:ext>
          </a:extLst>
        </xdr:cNvPr>
        <xdr:cNvSpPr/>
      </xdr:nvSpPr>
      <xdr:spPr>
        <a:xfrm>
          <a:off x="14668500" y="1006720"/>
          <a:ext cx="5685692" cy="76200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ptos" panose="020B0004020202020204" pitchFamily="34" charset="0"/>
            </a:rPr>
            <a:t>Avg manufacturing</a:t>
          </a:r>
          <a:r>
            <a:rPr lang="en-US" sz="1600" b="1" baseline="0">
              <a:solidFill>
                <a:sysClr val="windowText" lastClr="000000"/>
              </a:solidFill>
              <a:latin typeface="Aptos" panose="020B0004020202020204" pitchFamily="34" charset="0"/>
            </a:rPr>
            <a:t> </a:t>
          </a:r>
          <a:r>
            <a:rPr lang="en-US" sz="1600" b="1">
              <a:solidFill>
                <a:sysClr val="windowText" lastClr="000000"/>
              </a:solidFill>
              <a:latin typeface="Aptos" panose="020B0004020202020204" pitchFamily="34" charset="0"/>
            </a:rPr>
            <a:t> lead times</a:t>
          </a:r>
        </a:p>
      </xdr:txBody>
    </xdr:sp>
    <xdr:clientData/>
  </xdr:twoCellAnchor>
  <xdr:twoCellAnchor>
    <xdr:from>
      <xdr:col>15</xdr:col>
      <xdr:colOff>146538</xdr:colOff>
      <xdr:row>4</xdr:row>
      <xdr:rowOff>176579</xdr:rowOff>
    </xdr:from>
    <xdr:to>
      <xdr:col>23</xdr:col>
      <xdr:colOff>205153</xdr:colOff>
      <xdr:row>8</xdr:row>
      <xdr:rowOff>176579</xdr:rowOff>
    </xdr:to>
    <xdr:sp macro="" textlink="">
      <xdr:nvSpPr>
        <xdr:cNvPr id="9" name="Rectangle: Rounded Corners 8">
          <a:extLst>
            <a:ext uri="{FF2B5EF4-FFF2-40B4-BE49-F238E27FC236}">
              <a16:creationId xmlns:a16="http://schemas.microsoft.com/office/drawing/2014/main" id="{7A7B0DE9-EFEF-0630-F834-4882DF736381}"/>
            </a:ext>
          </a:extLst>
        </xdr:cNvPr>
        <xdr:cNvSpPr/>
      </xdr:nvSpPr>
      <xdr:spPr>
        <a:xfrm>
          <a:off x="9378461" y="1011848"/>
          <a:ext cx="4982307" cy="76200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ptos" panose="020B0004020202020204" pitchFamily="34" charset="0"/>
            </a:rPr>
            <a:t>Total shipping cost</a:t>
          </a:r>
        </a:p>
      </xdr:txBody>
    </xdr:sp>
    <xdr:clientData/>
  </xdr:twoCellAnchor>
  <xdr:twoCellAnchor>
    <xdr:from>
      <xdr:col>9</xdr:col>
      <xdr:colOff>553914</xdr:colOff>
      <xdr:row>6</xdr:row>
      <xdr:rowOff>99645</xdr:rowOff>
    </xdr:from>
    <xdr:to>
      <xdr:col>12</xdr:col>
      <xdr:colOff>77664</xdr:colOff>
      <xdr:row>8</xdr:row>
      <xdr:rowOff>80595</xdr:rowOff>
    </xdr:to>
    <xdr:sp macro="" textlink="Analysis!E4">
      <xdr:nvSpPr>
        <xdr:cNvPr id="10" name="Rectangle: Rounded Corners 9">
          <a:extLst>
            <a:ext uri="{FF2B5EF4-FFF2-40B4-BE49-F238E27FC236}">
              <a16:creationId xmlns:a16="http://schemas.microsoft.com/office/drawing/2014/main" id="{E5A0147B-6729-CA98-607B-631D75C41658}"/>
            </a:ext>
          </a:extLst>
        </xdr:cNvPr>
        <xdr:cNvSpPr/>
      </xdr:nvSpPr>
      <xdr:spPr>
        <a:xfrm>
          <a:off x="6093068" y="1315914"/>
          <a:ext cx="1370134" cy="36195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5A61A8-95C3-411C-82FD-9B020A1657D8}" type="TxLink">
            <a:rPr lang="en-US" sz="1600" b="1" i="0" u="none" strike="noStrike">
              <a:solidFill>
                <a:srgbClr val="000000"/>
              </a:solidFill>
              <a:latin typeface="Aptos" panose="020B0004020202020204" pitchFamily="34" charset="0"/>
              <a:ea typeface="Calibri"/>
              <a:cs typeface="Calibri"/>
            </a:rPr>
            <a:pPr algn="ctr"/>
            <a:t>488</a:t>
          </a:fld>
          <a:endParaRPr lang="en-US" sz="1600" b="1">
            <a:latin typeface="Aptos" panose="020B0004020202020204" pitchFamily="34" charset="0"/>
          </a:endParaRPr>
        </a:p>
      </xdr:txBody>
    </xdr:sp>
    <xdr:clientData/>
  </xdr:twoCellAnchor>
  <xdr:twoCellAnchor>
    <xdr:from>
      <xdr:col>37</xdr:col>
      <xdr:colOff>437417</xdr:colOff>
      <xdr:row>6</xdr:row>
      <xdr:rowOff>167053</xdr:rowOff>
    </xdr:from>
    <xdr:to>
      <xdr:col>39</xdr:col>
      <xdr:colOff>586154</xdr:colOff>
      <xdr:row>8</xdr:row>
      <xdr:rowOff>109903</xdr:rowOff>
    </xdr:to>
    <xdr:sp macro="" textlink="Analysis!E46">
      <xdr:nvSpPr>
        <xdr:cNvPr id="11" name="Rectangle: Rounded Corners 10">
          <a:extLst>
            <a:ext uri="{FF2B5EF4-FFF2-40B4-BE49-F238E27FC236}">
              <a16:creationId xmlns:a16="http://schemas.microsoft.com/office/drawing/2014/main" id="{DDC516E3-077E-60BA-E830-8B87CED59E79}"/>
            </a:ext>
          </a:extLst>
        </xdr:cNvPr>
        <xdr:cNvSpPr/>
      </xdr:nvSpPr>
      <xdr:spPr>
        <a:xfrm>
          <a:off x="23209494" y="1383322"/>
          <a:ext cx="1379660" cy="32385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C1ECF91-B8E2-47BA-9E46-CB190D470341}" type="TxLink">
            <a:rPr lang="en-US" sz="1600" b="1" i="0" u="none" strike="noStrike">
              <a:solidFill>
                <a:srgbClr val="000000"/>
              </a:solidFill>
              <a:latin typeface="Calibri"/>
              <a:ea typeface="Calibri"/>
              <a:cs typeface="Calibri"/>
            </a:rPr>
            <a:pPr algn="ctr"/>
            <a:t>231929</a:t>
          </a:fld>
          <a:endParaRPr lang="en-US" sz="1600" b="1"/>
        </a:p>
      </xdr:txBody>
    </xdr:sp>
    <xdr:clientData/>
  </xdr:twoCellAnchor>
  <xdr:twoCellAnchor>
    <xdr:from>
      <xdr:col>27</xdr:col>
      <xdr:colOff>225669</xdr:colOff>
      <xdr:row>6</xdr:row>
      <xdr:rowOff>161925</xdr:rowOff>
    </xdr:from>
    <xdr:to>
      <xdr:col>29</xdr:col>
      <xdr:colOff>368544</xdr:colOff>
      <xdr:row>8</xdr:row>
      <xdr:rowOff>104775</xdr:rowOff>
    </xdr:to>
    <xdr:sp macro="" textlink="Analysis!F36">
      <xdr:nvSpPr>
        <xdr:cNvPr id="12" name="Rectangle: Rounded Corners 11">
          <a:extLst>
            <a:ext uri="{FF2B5EF4-FFF2-40B4-BE49-F238E27FC236}">
              <a16:creationId xmlns:a16="http://schemas.microsoft.com/office/drawing/2014/main" id="{4E8F4046-4999-A9BC-1478-DBB2AC8E942C}"/>
            </a:ext>
          </a:extLst>
        </xdr:cNvPr>
        <xdr:cNvSpPr/>
      </xdr:nvSpPr>
      <xdr:spPr>
        <a:xfrm>
          <a:off x="16843131" y="1378194"/>
          <a:ext cx="1373798" cy="32385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8BF7FDA-B3DF-4693-8AA3-D7EBF28E95E9}" type="TxLink">
            <a:rPr lang="en-US" sz="1600" b="1" i="0" u="none" strike="noStrike">
              <a:solidFill>
                <a:srgbClr val="000000"/>
              </a:solidFill>
              <a:latin typeface="Aptos" panose="020B0004020202020204" pitchFamily="34" charset="0"/>
              <a:ea typeface="Calibri"/>
              <a:cs typeface="Calibri"/>
            </a:rPr>
            <a:pPr algn="ctr"/>
            <a:t>14.777</a:t>
          </a:fld>
          <a:endParaRPr lang="en-US" sz="1600" b="1">
            <a:latin typeface="Aptos" panose="020B0004020202020204" pitchFamily="34" charset="0"/>
          </a:endParaRPr>
        </a:p>
      </xdr:txBody>
    </xdr:sp>
    <xdr:clientData/>
  </xdr:twoCellAnchor>
  <xdr:twoCellAnchor>
    <xdr:from>
      <xdr:col>18</xdr:col>
      <xdr:colOff>113567</xdr:colOff>
      <xdr:row>6</xdr:row>
      <xdr:rowOff>158261</xdr:rowOff>
    </xdr:from>
    <xdr:to>
      <xdr:col>20</xdr:col>
      <xdr:colOff>256442</xdr:colOff>
      <xdr:row>8</xdr:row>
      <xdr:rowOff>101111</xdr:rowOff>
    </xdr:to>
    <xdr:sp macro="" textlink="Analysis!D13">
      <xdr:nvSpPr>
        <xdr:cNvPr id="13" name="Rectangle: Rounded Corners 12">
          <a:extLst>
            <a:ext uri="{FF2B5EF4-FFF2-40B4-BE49-F238E27FC236}">
              <a16:creationId xmlns:a16="http://schemas.microsoft.com/office/drawing/2014/main" id="{C61B19D5-8CA3-B629-1D76-9CD0D9EF8B17}"/>
            </a:ext>
          </a:extLst>
        </xdr:cNvPr>
        <xdr:cNvSpPr/>
      </xdr:nvSpPr>
      <xdr:spPr>
        <a:xfrm>
          <a:off x="11191875" y="1374530"/>
          <a:ext cx="1373798" cy="323850"/>
        </a:xfrm>
        <a:prstGeom prst="roundRect">
          <a:avLst/>
        </a:prstGeom>
        <a:solidFill>
          <a:schemeClr val="bg2">
            <a:lumMod val="8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D64D330-4F6F-4BD6-BDB5-8FEAC4E334A6}" type="TxLink">
            <a:rPr lang="en-US" sz="1600" b="1" i="0" u="none" strike="noStrike">
              <a:solidFill>
                <a:srgbClr val="000000"/>
              </a:solidFill>
              <a:latin typeface="Aptos" panose="020B0004020202020204" pitchFamily="34" charset="0"/>
              <a:ea typeface="Calibri"/>
              <a:cs typeface="Calibri"/>
            </a:rPr>
            <a:pPr algn="ctr"/>
            <a:t>2672.188</a:t>
          </a:fld>
          <a:endParaRPr lang="en-US" sz="1600" b="1">
            <a:latin typeface="Aptos" panose="020B0004020202020204" pitchFamily="34" charset="0"/>
          </a:endParaRPr>
        </a:p>
      </xdr:txBody>
    </xdr:sp>
    <xdr:clientData/>
  </xdr:twoCellAnchor>
  <xdr:twoCellAnchor>
    <xdr:from>
      <xdr:col>7</xdr:col>
      <xdr:colOff>108511</xdr:colOff>
      <xdr:row>12</xdr:row>
      <xdr:rowOff>36171</xdr:rowOff>
    </xdr:from>
    <xdr:to>
      <xdr:col>18</xdr:col>
      <xdr:colOff>146538</xdr:colOff>
      <xdr:row>30</xdr:row>
      <xdr:rowOff>117231</xdr:rowOff>
    </xdr:to>
    <xdr:graphicFrame macro="">
      <xdr:nvGraphicFramePr>
        <xdr:cNvPr id="18" name="Chart 17">
          <a:extLst>
            <a:ext uri="{FF2B5EF4-FFF2-40B4-BE49-F238E27FC236}">
              <a16:creationId xmlns:a16="http://schemas.microsoft.com/office/drawing/2014/main" id="{7C6CD59F-3DA3-4941-B3BA-E89A81452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424962</xdr:colOff>
      <xdr:row>11</xdr:row>
      <xdr:rowOff>175847</xdr:rowOff>
    </xdr:from>
    <xdr:to>
      <xdr:col>31</xdr:col>
      <xdr:colOff>43960</xdr:colOff>
      <xdr:row>31</xdr:row>
      <xdr:rowOff>1</xdr:rowOff>
    </xdr:to>
    <xdr:graphicFrame macro="">
      <xdr:nvGraphicFramePr>
        <xdr:cNvPr id="19" name="Chart 18">
          <a:extLst>
            <a:ext uri="{FF2B5EF4-FFF2-40B4-BE49-F238E27FC236}">
              <a16:creationId xmlns:a16="http://schemas.microsoft.com/office/drawing/2014/main" id="{7C3F848B-D818-4BC5-A5DF-80CCF3C35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554621</xdr:colOff>
      <xdr:row>35</xdr:row>
      <xdr:rowOff>87923</xdr:rowOff>
    </xdr:from>
    <xdr:to>
      <xdr:col>18</xdr:col>
      <xdr:colOff>385824</xdr:colOff>
      <xdr:row>57</xdr:row>
      <xdr:rowOff>87922</xdr:rowOff>
    </xdr:to>
    <xdr:graphicFrame macro="">
      <xdr:nvGraphicFramePr>
        <xdr:cNvPr id="20" name="Chart 19">
          <a:extLst>
            <a:ext uri="{FF2B5EF4-FFF2-40B4-BE49-F238E27FC236}">
              <a16:creationId xmlns:a16="http://schemas.microsoft.com/office/drawing/2014/main" id="{F34BC104-B149-4C82-BECB-B1AC325EF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555625</xdr:colOff>
      <xdr:row>34</xdr:row>
      <xdr:rowOff>131885</xdr:rowOff>
    </xdr:from>
    <xdr:to>
      <xdr:col>30</xdr:col>
      <xdr:colOff>600982</xdr:colOff>
      <xdr:row>57</xdr:row>
      <xdr:rowOff>102577</xdr:rowOff>
    </xdr:to>
    <xdr:graphicFrame macro="">
      <xdr:nvGraphicFramePr>
        <xdr:cNvPr id="21" name="Chart 20">
          <a:extLst>
            <a:ext uri="{FF2B5EF4-FFF2-40B4-BE49-F238E27FC236}">
              <a16:creationId xmlns:a16="http://schemas.microsoft.com/office/drawing/2014/main" id="{484BD490-1AEA-4FE2-8B1C-A4B7AFEF5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334855</xdr:colOff>
      <xdr:row>34</xdr:row>
      <xdr:rowOff>146539</xdr:rowOff>
    </xdr:from>
    <xdr:to>
      <xdr:col>44</xdr:col>
      <xdr:colOff>43962</xdr:colOff>
      <xdr:row>56</xdr:row>
      <xdr:rowOff>190499</xdr:rowOff>
    </xdr:to>
    <xdr:graphicFrame macro="">
      <xdr:nvGraphicFramePr>
        <xdr:cNvPr id="22" name="Chart 21">
          <a:extLst>
            <a:ext uri="{FF2B5EF4-FFF2-40B4-BE49-F238E27FC236}">
              <a16:creationId xmlns:a16="http://schemas.microsoft.com/office/drawing/2014/main" id="{8409395B-8610-4922-A60B-A5CA68D50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234462</xdr:colOff>
      <xdr:row>11</xdr:row>
      <xdr:rowOff>175846</xdr:rowOff>
    </xdr:from>
    <xdr:to>
      <xdr:col>43</xdr:col>
      <xdr:colOff>527538</xdr:colOff>
      <xdr:row>30</xdr:row>
      <xdr:rowOff>43962</xdr:rowOff>
    </xdr:to>
    <xdr:graphicFrame macro="">
      <xdr:nvGraphicFramePr>
        <xdr:cNvPr id="23" name="Chart 22">
          <a:extLst>
            <a:ext uri="{FF2B5EF4-FFF2-40B4-BE49-F238E27FC236}">
              <a16:creationId xmlns:a16="http://schemas.microsoft.com/office/drawing/2014/main" id="{A4049236-B428-47AD-B833-28C70BF6C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534773</xdr:colOff>
      <xdr:row>10</xdr:row>
      <xdr:rowOff>175846</xdr:rowOff>
    </xdr:from>
    <xdr:to>
      <xdr:col>6</xdr:col>
      <xdr:colOff>124837</xdr:colOff>
      <xdr:row>59</xdr:row>
      <xdr:rowOff>190499</xdr:rowOff>
    </xdr:to>
    <xdr:sp macro="" textlink="">
      <xdr:nvSpPr>
        <xdr:cNvPr id="24" name="Rectangle: Rounded Corners 23">
          <a:extLst>
            <a:ext uri="{FF2B5EF4-FFF2-40B4-BE49-F238E27FC236}">
              <a16:creationId xmlns:a16="http://schemas.microsoft.com/office/drawing/2014/main" id="{0437F626-DCF1-ABBD-FDCE-F8F4FF14F3E5}"/>
            </a:ext>
          </a:extLst>
        </xdr:cNvPr>
        <xdr:cNvSpPr/>
      </xdr:nvSpPr>
      <xdr:spPr>
        <a:xfrm>
          <a:off x="534773" y="2154115"/>
          <a:ext cx="3282833" cy="9349153"/>
        </a:xfrm>
        <a:prstGeom prst="roundRect">
          <a:avLst/>
        </a:prstGeom>
        <a:solidFill>
          <a:schemeClr val="bg2">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29307</xdr:colOff>
      <xdr:row>1</xdr:row>
      <xdr:rowOff>161192</xdr:rowOff>
    </xdr:from>
    <xdr:to>
      <xdr:col>2</xdr:col>
      <xdr:colOff>328246</xdr:colOff>
      <xdr:row>6</xdr:row>
      <xdr:rowOff>49823</xdr:rowOff>
    </xdr:to>
    <xdr:pic>
      <xdr:nvPicPr>
        <xdr:cNvPr id="34" name="Graphic 33" descr="Bar chart outline">
          <a:hlinkClick xmlns:r="http://schemas.openxmlformats.org/officeDocument/2006/relationships" r:id="rId7"/>
          <a:extLst>
            <a:ext uri="{FF2B5EF4-FFF2-40B4-BE49-F238E27FC236}">
              <a16:creationId xmlns:a16="http://schemas.microsoft.com/office/drawing/2014/main" id="{7A778984-93B9-B875-89F2-D5A1222880E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4769" y="351692"/>
          <a:ext cx="914400" cy="914400"/>
        </a:xfrm>
        <a:prstGeom prst="rect">
          <a:avLst/>
        </a:prstGeom>
      </xdr:spPr>
    </xdr:pic>
    <xdr:clientData/>
  </xdr:twoCellAnchor>
  <xdr:twoCellAnchor editAs="oneCell">
    <xdr:from>
      <xdr:col>0</xdr:col>
      <xdr:colOff>578735</xdr:colOff>
      <xdr:row>13</xdr:row>
      <xdr:rowOff>117231</xdr:rowOff>
    </xdr:from>
    <xdr:to>
      <xdr:col>6</xdr:col>
      <xdr:colOff>58616</xdr:colOff>
      <xdr:row>20</xdr:row>
      <xdr:rowOff>87923</xdr:rowOff>
    </xdr:to>
    <mc:AlternateContent xmlns:mc="http://schemas.openxmlformats.org/markup-compatibility/2006" xmlns:a14="http://schemas.microsoft.com/office/drawing/2010/main">
      <mc:Choice Requires="a14">
        <xdr:graphicFrame macro="">
          <xdr:nvGraphicFramePr>
            <xdr:cNvPr id="42" name="Transportation modes 1">
              <a:extLst>
                <a:ext uri="{FF2B5EF4-FFF2-40B4-BE49-F238E27FC236}">
                  <a16:creationId xmlns:a16="http://schemas.microsoft.com/office/drawing/2014/main" id="{CEDCC11D-A384-40B0-9565-536BE83BBB5F}"/>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mlns="">
        <xdr:sp macro="" textlink="">
          <xdr:nvSpPr>
            <xdr:cNvPr id="0" name=""/>
            <xdr:cNvSpPr>
              <a:spLocks noTextEdit="1"/>
            </xdr:cNvSpPr>
          </xdr:nvSpPr>
          <xdr:spPr>
            <a:xfrm>
              <a:off x="578735" y="2667000"/>
              <a:ext cx="3172650" cy="1304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608040</xdr:colOff>
      <xdr:row>21</xdr:row>
      <xdr:rowOff>43961</xdr:rowOff>
    </xdr:from>
    <xdr:to>
      <xdr:col>6</xdr:col>
      <xdr:colOff>43960</xdr:colOff>
      <xdr:row>33</xdr:row>
      <xdr:rowOff>1</xdr:rowOff>
    </xdr:to>
    <mc:AlternateContent xmlns:mc="http://schemas.openxmlformats.org/markup-compatibility/2006" xmlns:a14="http://schemas.microsoft.com/office/drawing/2010/main">
      <mc:Choice Requires="a14">
        <xdr:graphicFrame macro="">
          <xdr:nvGraphicFramePr>
            <xdr:cNvPr id="43" name="Manufacturing lead time">
              <a:extLst>
                <a:ext uri="{FF2B5EF4-FFF2-40B4-BE49-F238E27FC236}">
                  <a16:creationId xmlns:a16="http://schemas.microsoft.com/office/drawing/2014/main" id="{32903B54-9638-4E3A-8E66-9E627F1CAD30}"/>
                </a:ext>
              </a:extLst>
            </xdr:cNvPr>
            <xdr:cNvGraphicFramePr/>
          </xdr:nvGraphicFramePr>
          <xdr:xfrm>
            <a:off x="0" y="0"/>
            <a:ext cx="0" cy="0"/>
          </xdr:xfrm>
          <a:graphic>
            <a:graphicData uri="http://schemas.microsoft.com/office/drawing/2010/slicer">
              <sle:slicer xmlns:sle="http://schemas.microsoft.com/office/drawing/2010/slicer" name="Manufacturing lead time"/>
            </a:graphicData>
          </a:graphic>
        </xdr:graphicFrame>
      </mc:Choice>
      <mc:Fallback xmlns="">
        <xdr:sp macro="" textlink="">
          <xdr:nvSpPr>
            <xdr:cNvPr id="0" name=""/>
            <xdr:cNvSpPr>
              <a:spLocks noTextEdit="1"/>
            </xdr:cNvSpPr>
          </xdr:nvSpPr>
          <xdr:spPr>
            <a:xfrm>
              <a:off x="608040" y="4117730"/>
              <a:ext cx="3128689" cy="224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578733</xdr:colOff>
      <xdr:row>33</xdr:row>
      <xdr:rowOff>146538</xdr:rowOff>
    </xdr:from>
    <xdr:to>
      <xdr:col>6</xdr:col>
      <xdr:colOff>43961</xdr:colOff>
      <xdr:row>47</xdr:row>
      <xdr:rowOff>3663</xdr:rowOff>
    </xdr:to>
    <mc:AlternateContent xmlns:mc="http://schemas.openxmlformats.org/markup-compatibility/2006" xmlns:a14="http://schemas.microsoft.com/office/drawing/2010/main">
      <mc:Choice Requires="a14">
        <xdr:graphicFrame macro="">
          <xdr:nvGraphicFramePr>
            <xdr:cNvPr id="44" name="Profitability 1">
              <a:extLst>
                <a:ext uri="{FF2B5EF4-FFF2-40B4-BE49-F238E27FC236}">
                  <a16:creationId xmlns:a16="http://schemas.microsoft.com/office/drawing/2014/main" id="{55DE237F-FDE2-48EB-8209-B0EB8EF06A08}"/>
                </a:ext>
              </a:extLst>
            </xdr:cNvPr>
            <xdr:cNvGraphicFramePr/>
          </xdr:nvGraphicFramePr>
          <xdr:xfrm>
            <a:off x="0" y="0"/>
            <a:ext cx="0" cy="0"/>
          </xdr:xfrm>
          <a:graphic>
            <a:graphicData uri="http://schemas.microsoft.com/office/drawing/2010/slicer">
              <sle:slicer xmlns:sle="http://schemas.microsoft.com/office/drawing/2010/slicer" name="Profitability 1"/>
            </a:graphicData>
          </a:graphic>
        </xdr:graphicFrame>
      </mc:Choice>
      <mc:Fallback xmlns="">
        <xdr:sp macro="" textlink="">
          <xdr:nvSpPr>
            <xdr:cNvPr id="0" name=""/>
            <xdr:cNvSpPr>
              <a:spLocks noTextEdit="1"/>
            </xdr:cNvSpPr>
          </xdr:nvSpPr>
          <xdr:spPr>
            <a:xfrm>
              <a:off x="578733" y="6506307"/>
              <a:ext cx="315799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608041</xdr:colOff>
      <xdr:row>47</xdr:row>
      <xdr:rowOff>131885</xdr:rowOff>
    </xdr:from>
    <xdr:to>
      <xdr:col>6</xdr:col>
      <xdr:colOff>43962</xdr:colOff>
      <xdr:row>58</xdr:row>
      <xdr:rowOff>29308</xdr:rowOff>
    </xdr:to>
    <mc:AlternateContent xmlns:mc="http://schemas.openxmlformats.org/markup-compatibility/2006" xmlns:a14="http://schemas.microsoft.com/office/drawing/2010/main">
      <mc:Choice Requires="a14">
        <xdr:graphicFrame macro="">
          <xdr:nvGraphicFramePr>
            <xdr:cNvPr id="45" name="Shipping costs">
              <a:extLst>
                <a:ext uri="{FF2B5EF4-FFF2-40B4-BE49-F238E27FC236}">
                  <a16:creationId xmlns:a16="http://schemas.microsoft.com/office/drawing/2014/main" id="{9237FE1A-B6CE-4423-B703-8669EB423963}"/>
                </a:ext>
              </a:extLst>
            </xdr:cNvPr>
            <xdr:cNvGraphicFramePr/>
          </xdr:nvGraphicFramePr>
          <xdr:xfrm>
            <a:off x="0" y="0"/>
            <a:ext cx="0" cy="0"/>
          </xdr:xfrm>
          <a:graphic>
            <a:graphicData uri="http://schemas.microsoft.com/office/drawing/2010/slicer">
              <sle:slicer xmlns:sle="http://schemas.microsoft.com/office/drawing/2010/slicer" name="Shipping costs"/>
            </a:graphicData>
          </a:graphic>
        </xdr:graphicFrame>
      </mc:Choice>
      <mc:Fallback xmlns="">
        <xdr:sp macro="" textlink="">
          <xdr:nvSpPr>
            <xdr:cNvPr id="0" name=""/>
            <xdr:cNvSpPr>
              <a:spLocks noTextEdit="1"/>
            </xdr:cNvSpPr>
          </xdr:nvSpPr>
          <xdr:spPr>
            <a:xfrm>
              <a:off x="608041" y="9158654"/>
              <a:ext cx="3128690" cy="1992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395654</xdr:colOff>
      <xdr:row>1</xdr:row>
      <xdr:rowOff>1</xdr:rowOff>
    </xdr:from>
    <xdr:to>
      <xdr:col>4</xdr:col>
      <xdr:colOff>79131</xdr:colOff>
      <xdr:row>7</xdr:row>
      <xdr:rowOff>5862</xdr:rowOff>
    </xdr:to>
    <xdr:pic>
      <xdr:nvPicPr>
        <xdr:cNvPr id="15" name="Graphic 14" descr="Table outline">
          <a:hlinkClick xmlns:r="http://schemas.openxmlformats.org/officeDocument/2006/relationships" r:id="rId10"/>
          <a:extLst>
            <a:ext uri="{FF2B5EF4-FFF2-40B4-BE49-F238E27FC236}">
              <a16:creationId xmlns:a16="http://schemas.microsoft.com/office/drawing/2014/main" id="{7073359B-5575-BEE8-F251-3BD8F1ED6DD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26577" y="190501"/>
          <a:ext cx="914400" cy="1222130"/>
        </a:xfrm>
        <a:prstGeom prst="rect">
          <a:avLst/>
        </a:prstGeom>
      </xdr:spPr>
    </xdr:pic>
    <xdr:clientData/>
  </xdr:twoCellAnchor>
  <xdr:twoCellAnchor editAs="oneCell">
    <xdr:from>
      <xdr:col>4</xdr:col>
      <xdr:colOff>146539</xdr:colOff>
      <xdr:row>1</xdr:row>
      <xdr:rowOff>161192</xdr:rowOff>
    </xdr:from>
    <xdr:to>
      <xdr:col>5</xdr:col>
      <xdr:colOff>445477</xdr:colOff>
      <xdr:row>6</xdr:row>
      <xdr:rowOff>35168</xdr:rowOff>
    </xdr:to>
    <xdr:pic>
      <xdr:nvPicPr>
        <xdr:cNvPr id="17" name="Graphic 16" descr="Venn diagram outline">
          <a:hlinkClick xmlns:r="http://schemas.openxmlformats.org/officeDocument/2006/relationships" r:id="rId13"/>
          <a:extLst>
            <a:ext uri="{FF2B5EF4-FFF2-40B4-BE49-F238E27FC236}">
              <a16:creationId xmlns:a16="http://schemas.microsoft.com/office/drawing/2014/main" id="{80E13087-9AED-E7B9-270F-D0949AAAFF4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08385" y="351692"/>
          <a:ext cx="914400" cy="8997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oye temitope" refreshedDate="46291.459370370372" createdVersion="8" refreshedVersion="8" minRefreshableVersion="3" recordCount="488" xr:uid="{664F3231-572F-479B-8EB8-882B6392C249}">
  <cacheSource type="worksheet">
    <worksheetSource name="Table1"/>
  </cacheSource>
  <cacheFields count="23">
    <cacheField name="Product type" numFmtId="0">
      <sharedItems/>
    </cacheField>
    <cacheField name="SKU" numFmtId="0">
      <sharedItems count="488">
        <s v="SKU0"/>
        <s v="SKU1"/>
        <s v="SKU2"/>
        <s v="SKU3"/>
        <s v="SKU4"/>
        <s v="SKU5"/>
        <s v="SKU6"/>
        <s v="SKU7"/>
        <s v="SKU8"/>
        <s v="SKU9"/>
        <s v="SKU10"/>
        <s v="SKU11"/>
        <s v="SKU12"/>
        <s v="SKU13"/>
        <s v="SKU14"/>
        <s v="SKU15"/>
        <s v="SKU16"/>
        <s v="SKU17"/>
        <s v="SKU18"/>
        <s v="SKU19"/>
        <s v="SKU20"/>
        <s v="SKU21"/>
        <s v="SKU22"/>
        <s v="SKU23"/>
        <s v="SKU24"/>
        <s v="SKU25"/>
        <s v="SKU26"/>
        <s v="SKU27"/>
        <s v="SKU28"/>
        <s v="SKU29"/>
        <s v="SKU30"/>
        <s v="SKU32"/>
        <s v="SKU33"/>
        <s v="SKU34"/>
        <s v="SKU35"/>
        <s v="SKU36"/>
        <s v="SKU37"/>
        <s v="SKU38"/>
        <s v="SKU39"/>
        <s v="SKU40"/>
        <s v="SKU41"/>
        <s v="SKU42"/>
        <s v="SKU70"/>
        <s v="SKU149"/>
        <s v="SKU43"/>
        <s v="SKU44"/>
        <s v="SKU45"/>
        <s v="SKU46"/>
        <s v="SKU48"/>
        <s v="SKU49"/>
        <s v="SKU50"/>
        <s v="SKU51"/>
        <s v="SKU52"/>
        <s v="SKU53"/>
        <s v="SKU54"/>
        <s v="SKU55"/>
        <s v="SKU56"/>
        <s v="SKU57"/>
        <s v="SKU58"/>
        <s v="SKU59"/>
        <s v="SKU60"/>
        <s v="SKU61"/>
        <s v="SKU62"/>
        <s v="SKU63"/>
        <s v="SKU64"/>
        <s v="SKU65"/>
        <s v="SKU68"/>
        <s v="SKU69"/>
        <s v="SKU71"/>
        <s v="SKU72"/>
        <s v="SKU73"/>
        <s v="SKU74"/>
        <s v="SKU75"/>
        <s v="SKU76"/>
        <s v="SKU77"/>
        <s v="SKU78"/>
        <s v="SKU79"/>
        <s v="SKU80"/>
        <s v="SKU81"/>
        <s v="SKU82"/>
        <s v="SKU83"/>
        <s v="SKU84"/>
        <s v="SKU85"/>
        <s v="SKU86"/>
        <s v="SKU87"/>
        <s v="SKU88"/>
        <s v="SKU89"/>
        <s v="SKU91"/>
        <s v="SKU92"/>
        <s v="SKU93"/>
        <s v="SKU94"/>
        <s v="SKU95"/>
        <s v="SKU96"/>
        <s v="SKU97"/>
        <s v="SKU98"/>
        <s v="SKU99"/>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4"/>
        <s v="SKU135"/>
        <s v="SKU136"/>
        <s v="SKU137"/>
        <s v="SKU138"/>
        <s v="SKU139"/>
        <s v="SKU140"/>
        <s v="SKU141"/>
        <s v="SKU142"/>
        <s v="SKU143"/>
        <s v="SKU144"/>
        <s v="SKU145"/>
        <s v="SKU146"/>
        <s v="SKU147"/>
        <s v="SKU148"/>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00"/>
        <s v="SKU201"/>
        <s v="SKU202"/>
        <s v="SKU203"/>
        <s v="SKU204"/>
        <s v="SKU205"/>
        <s v="SKU206"/>
        <s v="SKU207"/>
        <s v="SKU208"/>
        <s v="SKU209"/>
        <s v="SKU210"/>
        <s v="SKU211"/>
        <s v="SKU212"/>
        <s v="SKU213"/>
        <s v="SKU214"/>
        <s v="SKU215"/>
        <s v="SKU216"/>
        <s v="SKU217"/>
        <s v="SKU219"/>
        <s v="SKU220"/>
        <s v="SKU221"/>
        <s v="SKU222"/>
        <s v="SKU223"/>
        <s v="SKU224"/>
        <s v="SKU225"/>
        <s v="SKU226"/>
        <s v="SKU227"/>
        <s v="SKU228"/>
        <s v="SKU229"/>
        <s v="SKU230"/>
        <s v="SKU231"/>
        <s v="SKU232"/>
        <s v="SKU233"/>
        <s v="SKU234"/>
        <s v="SKU235"/>
        <s v="SKU236"/>
        <s v="SKU237"/>
        <s v="SKU238"/>
        <s v="SKU239"/>
        <s v="SKU240"/>
        <s v="SKU241"/>
        <s v="SKU242"/>
        <s v="SKU243"/>
        <s v="SKU244"/>
        <s v="SKU245"/>
        <s v="SKU246"/>
        <s v="SKU247"/>
        <s v="SKU248"/>
        <s v="SKU249"/>
        <s v="SKU250"/>
        <s v="SKU251"/>
        <s v="SKU252"/>
        <s v="SKU253"/>
        <s v="SKU254"/>
        <s v="SKU255"/>
        <s v="SKU256"/>
        <s v="SKU257"/>
        <s v="SKU258"/>
        <s v="SKU259"/>
        <s v="SKU260"/>
        <s v="SKU261"/>
        <s v="SKU262"/>
        <s v="SKU263"/>
        <s v="SKU264"/>
        <s v="SKU265"/>
        <s v="SKU266"/>
        <s v="SKU267"/>
        <s v="SKU268"/>
        <s v="SKU269"/>
        <s v="SKU270"/>
        <s v="SKU271"/>
        <s v="SKU272"/>
        <s v="SKU273"/>
        <s v="SKU274"/>
        <s v="SKU275"/>
        <s v="SKU276"/>
        <s v="SKU277"/>
        <s v="SKU278"/>
        <s v="SKU279"/>
        <s v="SKU280"/>
        <s v="SKU281"/>
        <s v="SKU282"/>
        <s v="SKU283"/>
        <s v="SKU284"/>
        <s v="SKU285"/>
        <s v="SKU286"/>
        <s v="SKU287"/>
        <s v="SKU288"/>
        <s v="SKU289"/>
        <s v="SKU290"/>
        <s v="SKU291"/>
        <s v="SKU292"/>
        <s v="SKU294"/>
        <s v="SKU295"/>
        <s v="SKU296"/>
        <s v="SKU297"/>
        <s v="SKU298"/>
        <s v="SKU299"/>
        <s v="SKU300"/>
        <s v="SKU301"/>
        <s v="SKU302"/>
        <s v="SKU303"/>
        <s v="SKU304"/>
        <s v="SKU305"/>
        <s v="SKU306"/>
        <s v="SKU307"/>
        <s v="SKU308"/>
        <s v="SKU309"/>
        <s v="SKU310"/>
        <s v="SKU311"/>
        <s v="SKU312"/>
        <s v="SKU313"/>
        <s v="SKU314"/>
        <s v="SKU315"/>
        <s v="SKU316"/>
        <s v="SKU317"/>
        <s v="SKU318"/>
        <s v="SKU319"/>
        <s v="SKU320"/>
        <s v="SKU321"/>
        <s v="SKU322"/>
        <s v="SKU323"/>
        <s v="SKU324"/>
        <s v="SKU325"/>
        <s v="SKU326"/>
        <s v="SKU327"/>
        <s v="SKU328"/>
        <s v="SKU329"/>
        <s v="SKU330"/>
        <s v="SKU331"/>
        <s v="SKU332"/>
        <s v="SKU333"/>
        <s v="SKU334"/>
        <s v="SKU335"/>
        <s v="SKU336"/>
        <s v="SKU337"/>
        <s v="SKU338"/>
        <s v="SKU339"/>
        <s v="SKU340"/>
        <s v="SKU341"/>
        <s v="SKU342"/>
        <s v="SKU343"/>
        <s v="SKU346"/>
        <s v="SKU347"/>
        <s v="SKU348"/>
        <s v="SKU349"/>
        <s v="SKU350"/>
        <s v="SKU351"/>
        <s v="SKU352"/>
        <s v="SKU353"/>
        <s v="SKU354"/>
        <s v="SKU355"/>
        <s v="SKU356"/>
        <s v="SKU357"/>
        <s v="SKU358"/>
        <s v="SKU359"/>
        <s v="SKU360"/>
        <s v="SKU361"/>
        <s v="SKU362"/>
        <s v="SKU364"/>
        <s v="SKU365"/>
        <s v="SKU366"/>
        <s v="SKU367"/>
        <s v="SKU368"/>
        <s v="SKU369"/>
        <s v="SKU370"/>
        <s v="SKU371"/>
        <s v="SKU372"/>
        <s v="SKU373"/>
        <s v="SKU374"/>
        <s v="SKU375"/>
        <s v="SKU376"/>
        <s v="SKU377"/>
        <s v="SKU378"/>
        <s v="SKU379"/>
        <s v="SKU380"/>
        <s v="SKU381"/>
        <s v="SKU382"/>
        <s v="SKU383"/>
        <s v="SKU384"/>
        <s v="SKU385"/>
        <s v="SKU386"/>
        <s v="SKU387"/>
        <s v="SKU388"/>
        <s v="SKU389"/>
        <s v="SKU390"/>
        <s v="SKU391"/>
        <s v="SKU392"/>
        <s v="SKU393"/>
        <s v="SKU394"/>
        <s v="SKU395"/>
        <s v="SKU396"/>
        <s v="SKU397"/>
        <s v="SKU398"/>
        <s v="SKU399"/>
        <s v="SKU400"/>
        <s v="SKU401"/>
        <s v="SKU402"/>
        <s v="SKU403"/>
        <s v="SKU404"/>
        <s v="SKU405"/>
        <s v="SKU406"/>
        <s v="SKU407"/>
        <s v="SKU408"/>
        <s v="SKU409"/>
        <s v="SKU410"/>
        <s v="SKU411"/>
        <s v="SKU412"/>
        <s v="SKU413"/>
        <s v="SKU414"/>
        <s v="SKU415"/>
        <s v="SKU416"/>
        <s v="SKU417"/>
        <s v="SKU418"/>
        <s v="SKU419"/>
        <s v="SKU421"/>
        <s v="SKU422"/>
        <s v="SKU423"/>
        <s v="SKU424"/>
        <s v="SKU425"/>
        <s v="SKU426"/>
        <s v="SKU427"/>
        <s v="SKU428"/>
        <s v="SKU429"/>
        <s v="SKU430"/>
        <s v="SKU431"/>
        <s v="SKU432"/>
        <s v="SKU433"/>
        <s v="SKU434"/>
        <s v="SKU435"/>
        <s v="SKU436"/>
        <s v="SKU437"/>
        <s v="SKU438"/>
        <s v="SKU439"/>
        <s v="SKU440"/>
        <s v="SKU441"/>
        <s v="SKU442"/>
        <s v="SKU443"/>
        <s v="SKU445"/>
        <s v="SKU446"/>
        <s v="SKU447"/>
        <s v="SKU448"/>
        <s v="SKU449"/>
        <s v="SKU450"/>
        <s v="SKU451"/>
        <s v="SKU452"/>
        <s v="SKU453"/>
        <s v="SKU454"/>
        <s v="SKU455"/>
        <s v="SKU456"/>
        <s v="SKU457"/>
        <s v="SKU458"/>
        <s v="SKU459"/>
        <s v="SKU460"/>
        <s v="SKU461"/>
        <s v="SKU462"/>
        <s v="SKU463"/>
        <s v="SKU464"/>
        <s v="SKU465"/>
        <s v="SKU466"/>
        <s v="SKU467"/>
        <s v="SKU468"/>
        <s v="SKU469"/>
        <s v="SKU470"/>
        <s v="SKU471"/>
        <s v="SKU472"/>
        <s v="SKU473"/>
        <s v="SKU474"/>
        <s v="SKU475"/>
        <s v="SKU476"/>
        <s v="SKU477"/>
        <s v="SKU478"/>
        <s v="SKU479"/>
        <s v="SKU480"/>
        <s v="SKU481"/>
        <s v="SKU482"/>
        <s v="SKU484"/>
        <s v="SKU485"/>
        <s v="SKU486"/>
        <s v="SKU487"/>
        <s v="SKU488"/>
        <s v="SKU489"/>
        <s v="SKU490"/>
        <s v="SKU491"/>
        <s v="SKU492"/>
        <s v="SKU493"/>
        <s v="SKU494"/>
        <s v="SKU495"/>
        <s v="SKU496"/>
        <s v="SKU497"/>
        <s v="SKU498"/>
        <s v="SKU499"/>
        <s v="SKU47"/>
        <s v="SKU67"/>
        <s v="SKU31"/>
      </sharedItems>
    </cacheField>
    <cacheField name="Price" numFmtId="2">
      <sharedItems containsSemiMixedTypes="0" containsString="0" containsNumber="1" minValue="5.44" maxValue="99.97"/>
    </cacheField>
    <cacheField name="Availability" numFmtId="0">
      <sharedItems containsSemiMixedTypes="0" containsString="0" containsNumber="1" containsInteger="1" minValue="0" maxValue="99"/>
    </cacheField>
    <cacheField name="Number of products sold" numFmtId="0">
      <sharedItems containsSemiMixedTypes="0" containsString="0" containsNumber="1" containsInteger="1" minValue="0" maxValue="996"/>
    </cacheField>
    <cacheField name="Lead times" numFmtId="0">
      <sharedItems containsSemiMixedTypes="0" containsString="0" containsNumber="1" containsInteger="1" minValue="1" maxValue="30" count="30">
        <n v="9"/>
        <n v="16"/>
        <n v="19"/>
        <n v="7"/>
        <n v="14"/>
        <n v="28"/>
        <n v="25"/>
        <n v="27"/>
        <n v="4"/>
        <n v="26"/>
        <n v="15"/>
        <n v="3"/>
        <n v="5"/>
        <n v="1"/>
        <n v="24"/>
        <n v="8"/>
        <n v="29"/>
        <n v="2"/>
        <n v="10"/>
        <n v="17"/>
        <n v="23"/>
        <n v="21"/>
        <n v="20"/>
        <n v="13"/>
        <n v="30"/>
        <n v="22"/>
        <n v="6"/>
        <n v="18"/>
        <n v="11"/>
        <n v="12"/>
      </sharedItems>
    </cacheField>
    <cacheField name="Order quantities" numFmtId="0">
      <sharedItems containsSemiMixedTypes="0" containsString="0" containsNumber="1" containsInteger="1" minValue="1" maxValue="99"/>
    </cacheField>
    <cacheField name="Column1" numFmtId="0">
      <sharedItems/>
    </cacheField>
    <cacheField name="Shipping times" numFmtId="0">
      <sharedItems containsSemiMixedTypes="0" containsString="0" containsNumber="1" containsInteger="1" minValue="1" maxValue="9"/>
    </cacheField>
    <cacheField name="Shipping carriers" numFmtId="0">
      <sharedItems count="4">
        <s v="Carrier C"/>
        <s v="Carrier A"/>
        <s v="nan"/>
        <s v="Carrier B"/>
      </sharedItems>
    </cacheField>
    <cacheField name="Shipping costs" numFmtId="165">
      <sharedItems containsSemiMixedTypes="0" containsString="0" containsNumber="1" minValue="1.0020433440000001" maxValue="9.9725447569999996" count="488">
        <n v="6.3942375250000003"/>
        <n v="7.557906558"/>
        <n v="3.8382736890000002"/>
        <n v="4.5383241649999997"/>
        <n v="3.1323159450000002"/>
        <n v="1.872691039"/>
        <n v="2.6112847370000001"/>
        <n v="8.1776264080000001"/>
        <n v="7.097912247"/>
        <n v="5.9223598839999996"/>
        <n v="5.2758088560000003"/>
        <n v="9.3019085530000005"/>
        <n v="1.6546145299999999"/>
        <n v="3.5254073190000002"/>
        <n v="4.1494406819999998"/>
        <n v="8.0418323100000002"/>
        <n v="9.9326315810000008"/>
        <n v="3.1660346330000002"/>
        <n v="8.8687660069999996"/>
        <n v="8.4756048439999994"/>
        <n v="3.021916579"/>
        <n v="4.5939932219999999"/>
        <n v="4.6870558239999998"/>
        <n v="9.8039860169999997"/>
        <n v="2.6280271119999998"/>
        <n v="8.1924217400000003"/>
        <n v="4.007734428"/>
        <n v="7.5778331120000004"/>
        <n v="4.7800990390000004"/>
        <n v="6.2052378680000002"/>
        <n v="8.4935059600000002"/>
        <n v="8.7978086520000005"/>
        <n v="1.5365559280000001"/>
        <n v="7.2284549770000002"/>
        <n v="2.2598863900000001"/>
        <n v="4.7423671120000002"/>
        <n v="5.9372957350000002"/>
        <n v="4.6246553629999996"/>
        <n v="5.6765050820000003"/>
        <n v="9.9687367790000003"/>
        <n v="2.2169558230000002"/>
        <n v="7.0791044080000001"/>
        <n v="6.1065184969999997"/>
        <n v="7.0740388269999999"/>
        <n v="4.5640086970000002"/>
        <n v="2.1970881900000001"/>
        <n v="2.4286308700000001"/>
        <n v="9.5434579559999992"/>
        <n v="9.1633776440000005"/>
        <n v="9.9237949820000004"/>
        <n v="2.87483851"/>
        <n v="4.1989540359999999"/>
        <n v="7.0229712690000001"/>
        <n v="5.3542228590000001"/>
        <n v="4.7655057999999997"/>
        <n v="4.2203012439999998"/>
        <n v="6.3440256870000002"/>
        <n v="6.1803408580000001"/>
        <n v="2.453120507"/>
        <n v="5.2456585379999998"/>
        <n v="5.9812459860000002"/>
        <n v="6.132582449"/>
        <n v="2.8909647359999999"/>
        <n v="7.6804425299999997"/>
        <n v="1.2267918529999999"/>
        <n v="4.1934867000000002"/>
        <n v="3.3504618929999999"/>
        <n v="7.2545780740000003"/>
        <n v="8.1661924849999998"/>
        <n v="7.6152266759999998"/>
        <n v="6.4909712979999998"/>
        <n v="5.3935990780000003"/>
        <n v="2.1986391310000002"/>
        <n v="3.3519971609999999"/>
        <n v="4.7718952559999996"/>
        <n v="6.3936935830000001"/>
        <n v="5.6233706970000004"/>
        <n v="3.5936607340000002"/>
        <n v="1.05817922"/>
        <n v="5.466152997"/>
        <n v="3.570633897"/>
        <n v="7.6114747060000001"/>
        <n v="1.2155163870000001"/>
        <n v="6.2634503019999999"/>
        <n v="9.4732681379999999"/>
        <n v="2.5696834040000001"/>
        <n v="5.2448454169999996"/>
        <n v="6.6311372100000003"/>
        <n v="5.9547851249999999"/>
        <n v="4.6662897179999998"/>
        <n v="5.692393193"/>
        <n v="9.0691719259999992"/>
        <n v="2.7666487210000001"/>
        <n v="1.203080605"/>
        <n v="8.7549839620000007"/>
        <n v="6.1940537410000003"/>
        <n v="9.0159260989999996"/>
        <n v="6.3725070109999997"/>
        <n v="8.2914498099999996"/>
        <n v="4.8670602699999996"/>
        <n v="7.7487393820000001"/>
        <n v="9.2173732019999992"/>
        <n v="6.1491066730000004"/>
        <n v="2.6270663550000002"/>
        <n v="3.4191785349999999"/>
        <n v="2.7878011919999999"/>
        <n v="3.2217132479999999"/>
        <n v="3.757739044"/>
        <n v="5.9962040810000001"/>
        <n v="6.2919246649999998"/>
        <n v="4.8384977249999999"/>
        <n v="6.5387870179999998"/>
        <n v="1.734174331"/>
        <n v="1.7900941340000001"/>
        <n v="2.5464651429999998"/>
        <n v="2.9259521080000002"/>
        <n v="3.5495596310000002"/>
        <n v="4.6028155259999997"/>
        <n v="8.306795116"/>
        <n v="1.1247592230000001"/>
        <n v="6.8444093820000003"/>
        <n v="7.0198887790000004"/>
        <n v="8.1879020229999995"/>
        <n v="9.3947764520000003"/>
        <n v="1.181240641"/>
        <n v="2.3840533499999998"/>
        <n v="8.975541647"/>
        <n v="6.0813157499999999"/>
        <n v="6.9672448339999997"/>
        <n v="7.11159944"/>
        <n v="9.3856636299999998"/>
        <n v="9.9725447569999996"/>
        <n v="7.4814171480000002"/>
        <n v="3.5849908830000001"/>
        <n v="8.917771621"/>
        <n v="1.442988231"/>
        <n v="3.0797276760000001"/>
        <n v="9.0764714570000002"/>
        <n v="3.3057236300000001"/>
        <n v="2.9858595370000001"/>
        <n v="2.2431276379999998"/>
        <n v="8.7320058189999994"/>
        <n v="5.5005243330000004"/>
        <n v="3.1515974569999998"/>
        <n v="7.8223637889999997"/>
        <n v="7.8400499049999999"/>
        <n v="3.8133822240000002"/>
        <n v="4.6961436970000001"/>
        <n v="2.8872124970000002"/>
        <n v="9.7890492099999999"/>
        <n v="6.8104231940000002"/>
        <n v="9.4108949259999992"/>
        <n v="3.730469893"/>
        <n v="8.037018217"/>
        <n v="7.8927277949999999"/>
        <n v="7.2249008669999997"/>
        <n v="9.6907507769999999"/>
        <n v="4.5419980249999998"/>
        <n v="2.1764559120000002"/>
        <n v="7.0453797329999999"/>
        <n v="7.5637882039999997"/>
        <n v="6.1755451609999996"/>
        <n v="2.8613610380000001"/>
        <n v="5.5401034750000004"/>
        <n v="3.809707629"/>
        <n v="4.8471987539999999"/>
        <n v="6.8069671830000003"/>
        <n v="7.7069326839999999"/>
        <n v="3.0900222180000001"/>
        <n v="4.6479282460000002"/>
        <n v="3.4224541390000001"/>
        <n v="2.787684525"/>
        <n v="8.0504849800000002"/>
        <n v="9.1832742500000002"/>
        <n v="4.3320896710000003"/>
        <n v="7.7615103190000001"/>
        <n v="9.0729576040000008"/>
        <n v="8.6151178949999991"/>
        <n v="2.6453204970000002"/>
        <n v="9.6066269339999995"/>
        <n v="4.3900879640000001"/>
        <n v="4.0531659510000004"/>
        <n v="1.561881946"/>
        <n v="5.3755628870000001"/>
        <n v="1.981122541"/>
        <n v="3.2368583879999999"/>
        <n v="3.8524835959999999"/>
        <n v="8.2794369109999995"/>
        <n v="8.8793978540000005"/>
        <n v="3.7221968570000001"/>
        <n v="8.7282830909999998"/>
        <n v="8.7150784360000007"/>
        <n v="7.8818585529999998"/>
        <n v="2.320256026"/>
        <n v="7.2129056220000001"/>
        <n v="9.5052165810000009"/>
        <n v="7.1428643090000001"/>
        <n v="3.984551642"/>
        <n v="5.5052138570000002"/>
        <n v="6.8115253899999999"/>
        <n v="5.5951336789999999"/>
        <n v="2.0795764760000002"/>
        <n v="3.8085764019999999"/>
        <n v="8.2215642750000004"/>
        <n v="8.7527624149999994"/>
        <n v="2.2357002939999999"/>
        <n v="9.5714807719999992"/>
        <n v="3.9594035609999998"/>
        <n v="6.9608236489999999"/>
        <n v="7.7664263140000003"/>
        <n v="8.3075161120000001"/>
        <n v="3.8162759319999999"/>
        <n v="8.7265580909999994"/>
        <n v="2.1851821309999999"/>
        <n v="7.3453681570000002"/>
        <n v="7.677799566"/>
        <n v="7.0995091710000002"/>
        <n v="3.2708326250000002"/>
        <n v="8.8573883230000003"/>
        <n v="2.5197261700000002"/>
        <n v="1.482713124"/>
        <n v="7.4571849160000001"/>
        <n v="5.2792814369999999"/>
        <n v="8.6418821799999996"/>
        <n v="4.4505742699999997"/>
        <n v="2.5145072970000002"/>
        <n v="8.5279797320000004"/>
        <n v="5.9401866849999996"/>
        <n v="2.7027621320000002"/>
        <n v="7.4834559870000001"/>
        <n v="5.6000227459999996"/>
        <n v="6.4388168400000003"/>
        <n v="5.1480850440000001"/>
        <n v="8.4583808539999996"/>
        <n v="8.4660644410000003"/>
        <n v="7.3844993959999998"/>
        <n v="1.948612397"/>
        <n v="8.5496847569999996"/>
        <n v="7.0391168249999998"/>
        <n v="7.2732174939999998"/>
        <n v="4.2668455639999996"/>
        <n v="8.913516005"/>
        <n v="7.5283444020000001"/>
        <n v="2.0133141989999999"/>
        <n v="4.6700023100000001"/>
        <n v="8.977423258"/>
        <n v="1.424770315"/>
        <n v="9.6527495769999998"/>
        <n v="7.1124631149999997"/>
        <n v="6.6823837990000001"/>
        <n v="3.435033308"/>
        <n v="3.2391260989999999"/>
        <n v="9.4785239749999999"/>
        <n v="3.684452088"/>
        <n v="7.9795476699999996"/>
        <n v="4.5380961839999996"/>
        <n v="2.253286637"/>
        <n v="1.0964376790000001"/>
        <n v="5.8983160330000004"/>
        <n v="9.7820093670000006"/>
        <n v="4.3222257439999998"/>
        <n v="4.2147310060000001"/>
        <n v="4.096824561"/>
        <n v="5.6848945359999998"/>
        <n v="4.9659839510000001"/>
        <n v="8.9192316409999997"/>
        <n v="5.5496871260000002"/>
        <n v="5.5698205439999997"/>
        <n v="2.245344352"/>
        <n v="9.8446558680000003"/>
        <n v="3.2497560179999998"/>
        <n v="1.6602766069999999"/>
        <n v="6.9683162410000001"/>
        <n v="6.3582973310000002"/>
        <n v="4.7363108860000001"/>
        <n v="4.7997301050000001"/>
        <n v="8.0655752889999999"/>
        <n v="2.761413761"/>
        <n v="8.3822798709999997"/>
        <n v="6.8387240250000003"/>
        <n v="4.7707279639999998"/>
        <n v="5.1222575490000004"/>
        <n v="3.3098248649999999"/>
        <n v="7.7690289940000001"/>
        <n v="5.6158726809999999"/>
        <n v="6.3644510419999998"/>
        <n v="9.9616100680000006"/>
        <n v="4.9173605169999997"/>
        <n v="9.2862226069999991"/>
        <n v="4.1051515590000003"/>
        <n v="1.492594362"/>
        <n v="2.8381789569999998"/>
        <n v="4.7682562900000001"/>
        <n v="2.9767143570000001"/>
        <n v="1.0020433440000001"/>
        <n v="9.2350138400000006"/>
        <n v="8.5949147010000004"/>
        <n v="7.6806300829999996"/>
        <n v="2.510331361"/>
        <n v="2.0832721859999999"/>
        <n v="1.6084427450000001"/>
        <n v="7.5162626990000003"/>
        <n v="9.3592716459999998"/>
        <n v="4.8748223880000001"/>
        <n v="2.0722660479999999"/>
        <n v="5.611535387"/>
        <n v="4.1394871670000004"/>
        <n v="4.3734243189999997"/>
        <n v="6.5919756170000001"/>
        <n v="7.4684630189999996"/>
        <n v="1.9954323899999999"/>
        <n v="1.3203120770000001"/>
        <n v="9.9489727240000008"/>
        <n v="3.0945551400000002"/>
        <n v="1.484474724"/>
        <n v="2.7088779619999999"/>
        <n v="1.3506206169999999"/>
        <n v="4.5262980519999996"/>
        <n v="8.2216160600000006"/>
        <n v="4.0712000479999997"/>
        <n v="4.9976506619999999"/>
        <n v="7.0802809619999998"/>
        <n v="5.5800466310000001"/>
        <n v="8.7530111739999992"/>
        <n v="8.7943210749999992"/>
        <n v="1.0891962589999999"/>
        <n v="8.0024167580000007"/>
        <n v="5.1466024020000001"/>
        <n v="9.8995648719999991"/>
        <n v="5.3490886829999997"/>
        <n v="9.8820635079999999"/>
        <n v="7.7911242510000003"/>
        <n v="3.237443962"/>
        <n v="5.8455548139999998"/>
        <n v="9.9292207549999993"/>
        <n v="7.3573479710000003"/>
        <n v="4.1102162729999998"/>
        <n v="1.062840357"/>
        <n v="4.631328721"/>
        <n v="3.1127897959999999"/>
        <n v="8.3698234350000007"/>
        <n v="4.0359754800000003"/>
        <n v="8.4477132459999993"/>
        <n v="1.00538145"/>
        <n v="3.7703723500000002"/>
        <n v="3.170486929"/>
        <n v="3.1021062499999998"/>
        <n v="1.6136795779999999"/>
        <n v="2.6841184340000002"/>
        <n v="5.9999461289999996"/>
        <n v="3.6222496560000002"/>
        <n v="4.7565530410000001"/>
        <n v="8.883144325"/>
        <n v="9.1476909909999993"/>
        <n v="5.4366127449999997"/>
        <n v="3.971403553"/>
        <n v="1.9612063360000001"/>
        <n v="9.5806259140000005"/>
        <n v="1.5420425040000001"/>
        <n v="3.6788524979999999"/>
        <n v="3.6825958110000001"/>
        <n v="3.8836115750000002"/>
        <n v="2.478581589"/>
        <n v="8.0484528780000009"/>
        <n v="2.102480758"/>
        <n v="6.7141599320000003"/>
        <n v="2.1146142399999999"/>
        <n v="1.6348207379999999"/>
        <n v="9.184865533"/>
        <n v="2.7111588969999998"/>
        <n v="8.3912513910000008"/>
        <n v="5.9016778399999996"/>
        <n v="1.7007086760000001"/>
        <n v="9.5990337229999998"/>
        <n v="3.2226505030000001"/>
        <n v="8.736808108"/>
        <n v="2.5192900520000001"/>
        <n v="8.6854859389999994"/>
        <n v="1.119059316"/>
        <n v="5.6060241089999998"/>
        <n v="7.9249832150000001"/>
        <n v="9.4131596569999996"/>
        <n v="9.1828192259999994"/>
        <n v="8.3766238259999994"/>
        <n v="8.9937221469999997"/>
        <n v="2.7929771730000001"/>
        <n v="3.5576586610000001"/>
        <n v="3.6007167240000002"/>
        <n v="4.3934853790000004"/>
        <n v="4.5398860330000002"/>
        <n v="5.9009979220000002"/>
        <n v="2.43891787"/>
        <n v="7.2212199740000003"/>
        <n v="2.508098854"/>
        <n v="3.792776339"/>
        <n v="5.5301061750000002"/>
        <n v="8.1679650539999997"/>
        <n v="7.6552230989999996"/>
        <n v="6.8098092079999999"/>
        <n v="2.4019593449999999"/>
        <n v="5.9234081109999996"/>
        <n v="1.7870185160000001"/>
        <n v="4.3962685910000001"/>
        <n v="4.7216487730000001"/>
        <n v="1.3583029550000001"/>
        <n v="3.4658928950000001"/>
        <n v="9.6008452050000006"/>
        <n v="9.5826934700000006"/>
        <n v="1.387900981"/>
        <n v="2.6118544539999999"/>
        <n v="4.5299601410000001"/>
        <n v="9.5300172819999993"/>
        <n v="2.2707915719999998"/>
        <n v="7.8716425929999998"/>
        <n v="1.9781428539999999"/>
        <n v="9.8313181969999999"/>
        <n v="4.4345484920000002"/>
        <n v="7.9771108499999999"/>
        <n v="4.0833197449999998"/>
        <n v="6.6490198940000003"/>
        <n v="2.728144763"/>
        <n v="2.314189174"/>
        <n v="9.4425772559999999"/>
        <n v="9.2588255010000005"/>
        <n v="8.9872204619999998"/>
        <n v="6.6289010509999997"/>
        <n v="8.2744139010000008"/>
        <n v="1.621332432"/>
        <n v="4.0131013769999999"/>
        <n v="3.823328123"/>
        <n v="6.7208078980000003"/>
        <n v="2.3365610349999999"/>
        <n v="6.3682036789999996"/>
        <n v="8.329455286"/>
        <n v="4.4391114500000004"/>
        <n v="2.1904184359999999"/>
        <n v="2.7701937760000002"/>
        <n v="3.137349747"/>
        <n v="3.699078337"/>
        <n v="6.7851556349999997"/>
        <n v="6.4085093610000001"/>
        <n v="7.2647187539999996"/>
        <n v="4.2625178610000001"/>
        <n v="8.4159788669999998"/>
        <n v="2.8367889499999999"/>
        <n v="5.2213667279999996"/>
        <n v="8.2084484940000007"/>
        <n v="2.62142783"/>
        <n v="1.9887680240000001"/>
        <n v="8.9531557090000007"/>
        <n v="4.0863669649999999"/>
        <n v="7.1548311240000002"/>
        <n v="1.2281374380000001"/>
        <n v="7.210421996"/>
        <n v="3.8449118040000001"/>
        <n v="1.5016676819999999"/>
        <n v="6.4883148540000004"/>
        <n v="3.1672343449999998"/>
        <n v="4.4812651780000001"/>
        <n v="1.725227311"/>
        <n v="2.3244692599999999"/>
        <n v="3.6817951189999998"/>
        <n v="1.8078355049999999"/>
        <n v="9.1974363819999994"/>
        <n v="1.0544233890000001"/>
        <n v="5.3547419700000001"/>
        <n v="2.1092271230000001"/>
        <n v="3.7691118050000001"/>
        <n v="9.3345360379999995"/>
        <n v="9.6924908769999991"/>
        <n v="2.8521493929999999"/>
        <n v="7.6740949760000001"/>
        <n v="5.9200953839999997"/>
        <n v="8.9603085480000004"/>
        <n v="5.9859393000000001"/>
        <n v="5.8110329719999996"/>
        <n v="2.7591220029999999"/>
        <n v="2.4960642580000001"/>
        <n v="9.24840236"/>
        <n v="3.9505437900000002"/>
        <n v="4.3487402949999998"/>
        <n v="7.8384129260000002"/>
        <n v="4.049411342"/>
        <n v="9.5685620199999999"/>
        <n v="7.6413499209999998"/>
        <n v="8.9164134700000002"/>
        <n v="6.0750362889999998"/>
        <n v="8.2374900849999992"/>
      </sharedItems>
    </cacheField>
    <cacheField name="Supplier name" numFmtId="0">
      <sharedItems count="6">
        <s v="Supplier 4"/>
        <s v="Supplier 5"/>
        <s v="Supplier 1"/>
        <s v="Supplier 2"/>
        <s v="Supplier 3"/>
        <s v="nan"/>
      </sharedItems>
    </cacheField>
    <cacheField name="Location" numFmtId="0">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5" maxValue="999"/>
    </cacheField>
    <cacheField name="Manufacturing lead time" numFmtId="0">
      <sharedItems containsSemiMixedTypes="0" containsString="0" containsNumber="1" containsInteger="1" minValue="1" maxValue="30" count="30">
        <n v="27"/>
        <n v="9"/>
        <n v="30"/>
        <n v="15"/>
        <n v="2"/>
        <n v="4"/>
        <n v="5"/>
        <n v="17"/>
        <n v="8"/>
        <n v="22"/>
        <n v="12"/>
        <n v="21"/>
        <n v="19"/>
        <n v="3"/>
        <n v="18"/>
        <n v="6"/>
        <n v="16"/>
        <n v="20"/>
        <n v="11"/>
        <n v="7"/>
        <n v="13"/>
        <n v="10"/>
        <n v="14"/>
        <n v="23"/>
        <n v="1"/>
        <n v="24"/>
        <n v="25"/>
        <n v="29"/>
        <n v="26"/>
        <n v="28"/>
      </sharedItems>
    </cacheField>
    <cacheField name="Manufacturing costs" numFmtId="165">
      <sharedItems containsSemiMixedTypes="0" containsString="0" containsNumber="1" minValue="10.4241183" maxValue="99.977640710000003" count="488">
        <n v="73.791933839999999"/>
        <n v="26.009181590000001"/>
        <n v="89.967995970000004"/>
        <n v="49.771706049999999"/>
        <n v="22.856131680000001"/>
        <n v="78.782643829999998"/>
        <n v="81.097705000000005"/>
        <n v="67.536592540000001"/>
        <n v="86.811899789999998"/>
        <n v="76.36356748"/>
        <n v="89.398516349999994"/>
        <n v="49.049924359999999"/>
        <n v="77.28374153"/>
        <n v="99.977640710000003"/>
        <n v="75.243807779999997"/>
        <n v="20.276540220000001"/>
        <n v="56.648685020000002"/>
        <n v="62.861301210000001"/>
        <n v="25.678960759999999"/>
        <n v="96.660247080000005"/>
        <n v="25.802179989999999"/>
        <n v="25.980212770000001"/>
        <n v="92.365042419999995"/>
        <n v="51.868488980000002"/>
        <n v="15.686945140000001"/>
        <n v="63.836874989999998"/>
        <n v="64.164371380000006"/>
        <n v="15.80506828"/>
        <n v="97.527024609999998"/>
        <n v="58.962696880000003"/>
        <n v="60.381614999999996"/>
        <n v="64.965860169999999"/>
        <n v="33.786977749999998"/>
        <n v="35.851721320000003"/>
        <n v="56.020518080000002"/>
        <n v="82.601726929999998"/>
        <n v="14.487811880000001"/>
        <n v="64.306379100000001"/>
        <n v="82.610032829999994"/>
        <n v="24.122554480000002"/>
        <n v="11.352028779999999"/>
        <n v="38.144196559999997"/>
        <n v="83.629375150000001"/>
        <n v="10.439601939999999"/>
        <n v="62.932933609999999"/>
        <n v="22.445485609999999"/>
        <n v="48.351013389999999"/>
        <n v="59.708934759999998"/>
        <n v="34.697054889999997"/>
        <n v="46.002667240000001"/>
        <n v="80.050530620000004"/>
        <n v="94.709322470000004"/>
        <n v="87.569229800000002"/>
        <n v="60.785515160000003"/>
        <n v="46.926352270000002"/>
        <n v="39.966095289999998"/>
        <n v="21.246090949999999"/>
        <n v="19.589612249999998"/>
        <n v="71.952186240000003"/>
        <n v="33.381497459999999"/>
        <n v="32.919551779999999"/>
        <n v="99.837554900000001"/>
        <n v="26.913336210000001"/>
        <n v="23.325378350000001"/>
        <n v="18.881670499999998"/>
        <n v="62.182481070000001"/>
        <n v="58.187200199999999"/>
        <n v="80.955957789999999"/>
        <n v="96.212086810000002"/>
        <n v="84.184118729999994"/>
        <n v="60.835729309999998"/>
        <n v="26.169126930000001"/>
        <n v="18.978720190000001"/>
        <n v="14.90607009"/>
        <n v="69.987324860000001"/>
        <n v="82.678262989999993"/>
        <n v="55.781555560000001"/>
        <n v="14.924275740000001"/>
        <n v="58.192351709999997"/>
        <n v="94.217433540000002"/>
        <n v="63.785187180000001"/>
        <n v="82.848473960000007"/>
        <n v="82.013738360000005"/>
        <n v="93.891618980000004"/>
        <n v="79.320588909999998"/>
        <n v="77.293046259999997"/>
        <n v="31.069239849999999"/>
        <n v="56.583951859999999"/>
        <n v="21.199078719999999"/>
        <n v="96.597628869999994"/>
        <n v="36.09322864"/>
        <n v="86.764978310000004"/>
        <n v="44.886216269999998"/>
        <n v="39.087482489999999"/>
        <n v="94.164271510000006"/>
        <n v="42.699031490000003"/>
        <n v="45.125911780000003"/>
        <n v="19.548260169999999"/>
        <n v="70.34019988"/>
        <n v="35.995547299999998"/>
        <n v="62.704375110000001"/>
        <n v="63.221653369999999"/>
        <n v="74.727972600000001"/>
        <n v="77.071733760000001"/>
        <n v="56.300719100000002"/>
        <n v="39.789275279999998"/>
        <n v="85.370580540000006"/>
        <n v="37.887908449999998"/>
        <n v="55.675818499999998"/>
        <n v="46.112732489999999"/>
        <n v="86.957054740000004"/>
        <n v="48.872667800000002"/>
        <n v="44.748927000000002"/>
        <n v="72.084132359999998"/>
        <n v="64.219699890000001"/>
        <n v="55.735192570000002"/>
        <n v="76.193054950000004"/>
        <n v="99.28672881"/>
        <n v="66.623215060000007"/>
        <n v="43.326375980000002"/>
        <n v="30.353643980000001"/>
        <n v="88.554721069999999"/>
        <n v="83.310869089999997"/>
        <n v="31.053053869999999"/>
        <n v="28.056888109999999"/>
        <n v="74.362309909999993"/>
        <n v="38.345685570000001"/>
        <n v="23.706122239999999"/>
        <n v="33.757796769999999"/>
        <n v="48.475680179999998"/>
        <n v="75.95545036"/>
        <n v="40.267728499999997"/>
        <n v="39.574390549999997"/>
        <n v="35.642192729999998"/>
        <n v="53.045530079999999"/>
        <n v="26.25730282"/>
        <n v="53.70676606"/>
        <n v="73.375800060000003"/>
        <n v="12.68114536"/>
        <n v="10.880144230000001"/>
        <n v="16.761061909999999"/>
        <n v="58.20940556"/>
        <n v="86.900957489999996"/>
        <n v="94.299517410000007"/>
        <n v="19.565066040000001"/>
        <n v="85.778517530000002"/>
        <n v="53.456928849999997"/>
        <n v="69.342164859999997"/>
        <n v="55.961468600000003"/>
        <n v="52.93434027"/>
        <n v="85.140948550000005"/>
        <n v="78.029774160000002"/>
        <n v="53.50620129"/>
        <n v="20.047233649999999"/>
        <n v="20.386266339999999"/>
        <n v="82.138551469999996"/>
        <n v="57.645155920000001"/>
        <n v="53.343022619999999"/>
        <n v="71.251015719999998"/>
        <n v="87.295742509999997"/>
        <n v="66.598583000000005"/>
        <n v="78.656311209999998"/>
        <n v="78.874347169999993"/>
        <n v="42.063530389999997"/>
        <n v="34.667487610000002"/>
        <n v="82.104766049999995"/>
        <n v="43.946091260000003"/>
        <n v="91.300240590000001"/>
        <n v="16.27216271"/>
        <n v="15.23957609"/>
        <n v="93.430374409999999"/>
        <n v="68.360942280000003"/>
        <n v="44.163942079999998"/>
        <n v="77.955437329999995"/>
        <n v="70.509412900000001"/>
        <n v="57.80809421"/>
        <n v="18.89860084"/>
        <n v="83.096162860000007"/>
        <n v="87.94208716"/>
        <n v="25.495181970000001"/>
        <n v="86.546048679999998"/>
        <n v="89.006257989999995"/>
        <n v="59.44857511"/>
        <n v="69.056113260000004"/>
        <n v="44.401358799999997"/>
        <n v="35.361248279999998"/>
        <n v="74.978483229999995"/>
        <n v="87.568763410000003"/>
        <n v="68.86697977"/>
        <n v="56.043154960000003"/>
        <n v="24.30322902"/>
        <n v="14.811284130000001"/>
        <n v="50.112261119999999"/>
        <n v="14.441460729999999"/>
        <n v="61.240116870000001"/>
        <n v="44.445627219999999"/>
        <n v="78.147020769999997"/>
        <n v="37.508364720000003"/>
        <n v="63.36844309"/>
        <n v="58.391516959999997"/>
        <n v="10.4241183"/>
        <n v="16.515045839999999"/>
        <n v="36.133139120000003"/>
        <n v="89.40115729"/>
        <n v="23.231345940000001"/>
        <n v="73.980489739999996"/>
        <n v="97.602990950000006"/>
        <n v="81.15107974"/>
        <n v="31.86508255"/>
        <n v="91.752873440000002"/>
        <n v="18.379644089999999"/>
        <n v="89.878771700000001"/>
        <n v="67.713913829999996"/>
        <n v="47.228010830000002"/>
        <n v="36.353158010000001"/>
        <n v="43.758946479999999"/>
        <n v="55.804760289999997"/>
        <n v="38.713953689999997"/>
        <n v="97.207107590000007"/>
        <n v="93.976988779999999"/>
        <n v="88.36043214"/>
        <n v="47.964685199999998"/>
        <n v="72.217159240000001"/>
        <n v="91.254637630000005"/>
        <n v="86.538653890000006"/>
        <n v="47.289431260000001"/>
        <n v="20.114744439999999"/>
        <n v="16.806732749999998"/>
        <n v="61.935764069999998"/>
        <n v="67.836514170000001"/>
        <n v="86.485834409999995"/>
        <n v="36.32635183"/>
        <n v="25.072344149999999"/>
        <n v="44.110524990000002"/>
        <n v="41.821761129999999"/>
        <n v="21.922205859999998"/>
        <n v="70.505438729999995"/>
        <n v="55.78227467"/>
        <n v="74.90104805"/>
        <n v="41.742200820000001"/>
        <n v="39.313199040000001"/>
        <n v="52.531826770000002"/>
        <n v="88.966661090000002"/>
        <n v="13.62531761"/>
        <n v="82.434953559999997"/>
        <n v="43.20888514"/>
        <n v="86.915712319999997"/>
        <n v="82.198270800000003"/>
        <n v="41.38851227"/>
        <n v="72.448888179999997"/>
        <n v="24.366948109999999"/>
        <n v="90.665339700000004"/>
        <n v="46.404195799999997"/>
        <n v="51.006305380000001"/>
        <n v="73.518314590000003"/>
        <n v="83.875621300000006"/>
        <n v="31.270846899999999"/>
        <n v="69.52151259"/>
        <n v="45.279823950000001"/>
        <n v="43.183263160000003"/>
        <n v="72.102324159999995"/>
        <n v="44.846494669999998"/>
        <n v="41.149765019999997"/>
        <n v="85.229956729999998"/>
        <n v="19.11485115"/>
        <n v="70.830336059999993"/>
        <n v="32.385285439999997"/>
        <n v="11.39484176"/>
        <n v="25.008784200000001"/>
        <n v="64.599537679999997"/>
        <n v="73.821447230000004"/>
        <n v="11.895200519999999"/>
        <n v="13.278289900000001"/>
        <n v="91.228790340000003"/>
        <n v="16.597523630000001"/>
        <n v="90.476394279999994"/>
        <n v="30.53493224"/>
        <n v="76.601602009999993"/>
        <n v="37.875992410000002"/>
        <n v="87.287682309999994"/>
        <n v="73.040937889999995"/>
        <n v="46.163211269999998"/>
        <n v="16.867220880000001"/>
        <n v="75.943016549999996"/>
        <n v="65.519628040000001"/>
        <n v="10.84778704"/>
        <n v="82.791367589999993"/>
        <n v="33.345976489999998"/>
        <n v="67.252030099999999"/>
        <n v="50.879297780000002"/>
        <n v="87.708701309999995"/>
        <n v="92.526500179999999"/>
        <n v="99.712694139999996"/>
        <n v="23.831572220000002"/>
        <n v="87.666764180000001"/>
        <n v="33.94192391"/>
        <n v="63.173428739999999"/>
        <n v="55.519555050000001"/>
        <n v="11.61893184"/>
        <n v="93.949415189999996"/>
        <n v="17.049434959999999"/>
        <n v="71.939702749999995"/>
        <n v="80.650615259999995"/>
        <n v="81.575906410000002"/>
        <n v="22.194506700000002"/>
        <n v="50.281295550000003"/>
        <n v="84.648598340000007"/>
        <n v="37.241128930000002"/>
        <n v="52.097380780000002"/>
        <n v="34.551450340000002"/>
        <n v="51.719627610000003"/>
        <n v="89.905413030000005"/>
        <n v="50.96118079"/>
        <n v="60.03208154"/>
        <n v="46.357865500000003"/>
        <n v="51.410546490000002"/>
        <n v="11.36567791"/>
        <n v="35.537095899999997"/>
        <n v="49.292354959999997"/>
        <n v="67.041727839999993"/>
        <n v="50.504673750000002"/>
        <n v="40.403533899999999"/>
        <n v="44.928886179999999"/>
        <n v="31.806399630000001"/>
        <n v="93.204485450000007"/>
        <n v="56.956890319999999"/>
        <n v="11.20685085"/>
        <n v="11.750163260000001"/>
        <n v="97.566547150000005"/>
        <n v="29.93058022"/>
        <n v="82.504745990000004"/>
        <n v="15.24477714"/>
        <n v="92.904646299999996"/>
        <n v="88.697530330000006"/>
        <n v="61.398384620000002"/>
        <n v="46.614038270000002"/>
        <n v="51.405770510000004"/>
        <n v="36.791088270000003"/>
        <n v="12.965308139999999"/>
        <n v="63.111466530000001"/>
        <n v="57.173920090000003"/>
        <n v="35.470057189999999"/>
        <n v="13.41783708"/>
        <n v="99.513476850000004"/>
        <n v="53.378756809999999"/>
        <n v="78.040381760000002"/>
        <n v="50.708263160000001"/>
        <n v="13.88532618"/>
        <n v="37.864067060000004"/>
        <n v="38.809912689999997"/>
        <n v="85.451761360000006"/>
        <n v="68.880698019999997"/>
        <n v="97.096595919999999"/>
        <n v="38.938764919999997"/>
        <n v="99.84106233"/>
        <n v="99.654732390000007"/>
        <n v="27.208946600000001"/>
        <n v="38.146700459999998"/>
        <n v="53.743977860000001"/>
        <n v="69.769060400000001"/>
        <n v="57.52427041"/>
        <n v="97.249732219999999"/>
        <n v="75.159024779999996"/>
        <n v="29.084036439999998"/>
        <n v="19.45877952"/>
        <n v="71.956116159999993"/>
        <n v="24.26071962"/>
        <n v="80.890915629999995"/>
        <n v="37.993300050000002"/>
        <n v="39.420393679999997"/>
        <n v="10.97185532"/>
        <n v="73.091014040000005"/>
        <n v="20.19427778"/>
        <n v="79.559251970000005"/>
        <n v="54.268103969999999"/>
        <n v="80.585183349999994"/>
        <n v="62.553388529999999"/>
        <n v="17.418994479999999"/>
        <n v="78.908710299999996"/>
        <n v="16.281953640000001"/>
        <n v="53.08315485"/>
        <n v="25.511429270000001"/>
        <n v="77.710166020000003"/>
        <n v="92.043210500000001"/>
        <n v="59.871354699999998"/>
        <n v="57.443256490000003"/>
        <n v="78.756687670000005"/>
        <n v="10.45709317"/>
        <n v="92.598277839999994"/>
        <n v="27.770393540000001"/>
        <n v="98.570699540000007"/>
        <n v="76.26285532"/>
        <n v="79.682603290000003"/>
        <n v="69.058268229999996"/>
        <n v="52.449686450000002"/>
        <n v="61.446492399999997"/>
        <n v="14.176259740000001"/>
        <n v="66.156355849999997"/>
        <n v="66.348829179999996"/>
        <n v="90.208071770000004"/>
        <n v="55.509072170000003"/>
        <n v="16.94299367"/>
        <n v="37.557632839999997"/>
        <n v="69.006647090000001"/>
        <n v="31.533297650000002"/>
        <n v="35.247503969999997"/>
        <n v="83.842211469999995"/>
        <n v="62.588775859999998"/>
        <n v="38.660677010000001"/>
        <n v="75.78352323"/>
        <n v="35.894659099999998"/>
        <n v="76.335716590000004"/>
        <n v="16.30913322"/>
        <n v="87.808720739999998"/>
        <n v="54.960981699999998"/>
        <n v="49.465721500000001"/>
        <n v="64.992107039999993"/>
        <n v="66.177286559999999"/>
        <n v="21.88316592"/>
        <n v="78.061023079999998"/>
        <n v="34.833546820000002"/>
        <n v="91.446569220000001"/>
        <n v="83.606559709999999"/>
        <n v="41.163943740000001"/>
        <n v="82.696536390000006"/>
        <n v="42.075144940000001"/>
        <n v="19.085291349999999"/>
        <n v="96.569941490000005"/>
        <n v="68.734181370000002"/>
        <n v="51.048957399999999"/>
        <n v="45.799601639999999"/>
        <n v="98.330283589999993"/>
        <n v="22.12725386"/>
        <n v="38.332455299999999"/>
        <n v="53.69478763"/>
        <n v="53.019959059999998"/>
        <n v="52.422983600000002"/>
        <n v="25.820543430000001"/>
        <n v="23.043927440000001"/>
        <n v="32.929082770000001"/>
        <n v="92.307353840000005"/>
        <n v="20.174767110000001"/>
        <n v="78.168259300000003"/>
        <n v="78.179355380000004"/>
        <n v="82.879336350000003"/>
        <n v="89.795394009999995"/>
        <n v="33.67325598"/>
        <n v="30.210352230000002"/>
        <n v="51.895509990000001"/>
        <n v="33.858025189999999"/>
        <n v="76.087899010000001"/>
        <n v="67.234561909999996"/>
        <n v="88.748891929999999"/>
        <n v="17.44644731"/>
        <n v="92.357500000000002"/>
        <n v="36.401376399999997"/>
        <n v="54.162491129999999"/>
        <n v="49.475029239999998"/>
        <n v="78.428048599999997"/>
        <n v="47.829997849999998"/>
        <n v="94.919783109999997"/>
        <n v="91.228049440000007"/>
        <n v="88.494503679999994"/>
        <n v="16.41324994"/>
        <n v="86.883225539999998"/>
        <n v="80.347190089999998"/>
        <n v="19.316165229999999"/>
        <n v="19.667289289999999"/>
        <n v="19.104743039999999"/>
        <n v="59.377087469999999"/>
        <n v="97.605486229999997"/>
        <n v="49.481623259999999"/>
        <n v="58.668175169999998"/>
        <n v="97.11728171"/>
        <n v="32.966400589999999"/>
        <n v="87.262322729999994"/>
        <n v="59.175142049999998"/>
        <n v="61.252886320000002"/>
        <n v="40.885647149999997"/>
        <n v="60.542592489999997"/>
        <n v="16.582825849999999"/>
        <n v="78.81792154"/>
        <n v="35.621898539999997"/>
        <n v="89.884749650000003"/>
        <n v="43.106562519999997"/>
        <n v="63.899478530000003"/>
        <n v="42.870513359999997"/>
        <n v="56.810387310000003"/>
      </sharedItems>
    </cacheField>
    <cacheField name="Inspection results" numFmtId="0">
      <sharedItems/>
    </cacheField>
    <cacheField name="Defect rates" numFmtId="164">
      <sharedItems containsSemiMixedTypes="0" containsString="0" containsNumber="1" minValue="0.10887896599999999" maxValue="4.9987322340000002" count="488">
        <n v="2.8629484559999998"/>
        <n v="2.6305772749999998"/>
        <n v="3.662191806"/>
        <n v="2.9411877679999998"/>
        <n v="0.89632665899999997"/>
        <n v="3.4035683520000002"/>
        <n v="0.75399750799999998"/>
        <n v="4.048702756"/>
        <n v="4.949709329"/>
        <n v="1.9491993620000001"/>
        <n v="2.279303901"/>
        <n v="0.327524912"/>
        <n v="0.167292622"/>
        <n v="4.614954741"/>
        <n v="0.73025789600000002"/>
        <n v="2.2843158629999998"/>
        <n v="4.0952376570000002"/>
        <n v="4.4576619239999999"/>
        <n v="2.6450486579999999"/>
        <n v="2.8686593720000002"/>
        <n v="3.381451465"/>
        <n v="4.8107741040000001"/>
        <n v="3.0530828090000002"/>
        <n v="2.8414287709999999"/>
        <n v="0.17121726300000001"/>
        <n v="0.49665354"/>
        <n v="2.9281409699999998"/>
        <n v="4.6875779"/>
        <n v="4.3467876070000004"/>
        <n v="4.9146367230000001"/>
        <n v="2.6863867840000002"/>
        <n v="4.217961624"/>
        <n v="3.275355121"/>
        <n v="1.7598745309999999"/>
        <n v="2.4028943300000001"/>
        <n v="4.3037936539999997"/>
        <n v="1.5628848369999999"/>
        <n v="4.626341343"/>
        <n v="1.226051073"/>
        <n v="3.7726304339999999"/>
        <n v="3.1897402480000001"/>
        <n v="3.7730372609999998"/>
        <n v="4.954491537"/>
        <n v="2.5213722569999999"/>
        <n v="2.2430031050000001"/>
        <n v="4.6699412069999999"/>
        <n v="3.1991137919999999"/>
        <n v="1.5126494420000001"/>
        <n v="1.5053971610000001"/>
        <n v="1.53879872"/>
        <n v="2.0580327070000002"/>
        <n v="4.2769090460000001"/>
        <n v="2.5514595849999999"/>
        <n v="3.4266141270000001"/>
        <n v="2.0206419269999998"/>
        <n v="1.3916666550000001"/>
        <n v="4.7777367880000003"/>
        <n v="3.057548111"/>
        <n v="4.6763615590000001"/>
        <n v="1.0967237110000001"/>
        <n v="0.81978140300000002"/>
        <n v="4.2935322449999997"/>
        <n v="3.436494342"/>
        <n v="1.014234646"/>
        <n v="1.4198625330000001"/>
        <n v="4.0232533129999997"/>
        <n v="1.659924908"/>
        <n v="1.968026769"/>
        <n v="1.313323727"/>
        <n v="2.5816362470000001"/>
        <n v="4.2375714819999999"/>
        <n v="1.272193747"/>
        <n v="2.134547408"/>
        <n v="3.1139473080000002"/>
        <n v="2.4578219419999998"/>
        <n v="2.3515611060000001"/>
        <n v="1.876297683"/>
        <n v="2.974567006"/>
        <n v="3.1594262199999998"/>
        <n v="3.3011187500000001"/>
        <n v="0.44480372899999998"/>
        <n v="3.1920674610000002"/>
        <n v="4.7708621759999996"/>
        <n v="2.750832554"/>
        <n v="3.6048087039999999"/>
        <n v="2.8279883080000001"/>
        <n v="4.2882290310000002"/>
        <n v="1.002677507"/>
        <n v="2.240614179"/>
        <n v="2.022672295"/>
        <n v="2.0855541039999999"/>
        <n v="0.715068488"/>
        <n v="4.0867170570000004"/>
        <n v="0.27525459099999999"/>
        <n v="2.6883103780000002"/>
        <n v="3.343204101"/>
        <n v="1.116600246"/>
        <n v="4.5386659409999996"/>
        <n v="4.208891114"/>
        <n v="2.4083102740000002"/>
        <n v="2.1146297679999999"/>
        <n v="1.259182834"/>
        <n v="3.6769668009999998"/>
        <n v="0.74554461800000005"/>
        <n v="3.4331649940000002"/>
        <n v="4.2280392320000004"/>
        <n v="1.2195107220000001"/>
        <n v="4.345494274"/>
        <n v="0.26328367699999999"/>
        <n v="4.5726581880000001"/>
        <n v="0.67997491600000004"/>
        <n v="3.2642199719999998"/>
        <n v="1.3254040979999999"/>
        <n v="4.1991067170000003"/>
        <n v="2.610271768"/>
        <n v="2.8978586989999999"/>
        <n v="2.0986247900000001"/>
        <n v="3.341094301"/>
        <n v="4.4213260950000004"/>
        <n v="2.106006743"/>
        <n v="1.5204153300000001"/>
        <n v="0.17112396299999999"/>
        <n v="2.916711286"/>
        <n v="2.0711463600000002"/>
        <n v="1.9357811730000001"/>
        <n v="0.99638307400000004"/>
        <n v="2.2072711909999998"/>
        <n v="1.558995353"/>
        <n v="3.0385516259999998"/>
        <n v="3.9047857179999999"/>
        <n v="3.770873334"/>
        <n v="1.710994009"/>
        <n v="3.0932144090000002"/>
        <n v="4.3691969579999999"/>
        <n v="0.175692396"/>
        <n v="2.2350983489999998"/>
        <n v="1.198939749"/>
        <n v="2.0042982230000002"/>
        <n v="2.1383490790000002"/>
        <n v="3.7586877269999999"/>
        <n v="0.55972717500000002"/>
        <n v="2.6116611249999999"/>
        <n v="2.8645544799999998"/>
        <n v="3.68617894"/>
        <n v="1.9805771539999999"/>
        <n v="4.7303386119999997"/>
        <n v="2.4608368679999999"/>
        <n v="2.898948157"/>
        <n v="4.1451010339999996"/>
        <n v="1.448656919"/>
        <n v="0.46848994100000002"/>
        <n v="3.5681414939999998"/>
        <n v="2.4667580920000001"/>
        <n v="4.4928708300000002"/>
        <n v="4.9151322390000001"/>
        <n v="2.0556358179999998"/>
        <n v="2.13565118"/>
        <n v="2.0990167510000002"/>
        <n v="1.6903151380000001"/>
        <n v="3.9302667790000001"/>
        <n v="3.8190792359999999"/>
        <n v="2.445359866"/>
        <n v="0.31883995999999998"/>
        <n v="1.6168405770000001"/>
        <n v="1.5322849279999999"/>
        <n v="4.0743275060000004"/>
        <n v="0.52912031000000004"/>
        <n v="4.0478093570000002"/>
        <n v="3.3789998959999998"/>
        <n v="3.6889631500000002"/>
        <n v="2.2178446190000001"/>
        <n v="3.4306564000000002"/>
        <n v="3.0842418290000002"/>
        <n v="3.8680029569999999"/>
        <n v="2.2891721889999999"/>
        <n v="2.4168455619999998"/>
        <n v="3.2535234910000002"/>
        <n v="0.62957971899999998"/>
        <n v="2.2375977969999998"/>
        <n v="4.8625591420000003"/>
        <n v="0.28400636800000001"/>
        <n v="1.648423142"/>
        <n v="1.6391381140000001"/>
        <n v="3.2039741839999998"/>
        <n v="0.61842176100000001"/>
        <n v="3.1798657509999999"/>
        <n v="0.56569717900000005"/>
        <n v="0.56527287199999998"/>
        <n v="3.66809845"/>
        <n v="1.688262352"/>
        <n v="4.8893724440000002"/>
        <n v="0.28302938900000002"/>
        <n v="2.2810226519999999"/>
        <n v="0.65436609499999998"/>
        <n v="1.821756937"/>
        <n v="4.991290008"/>
        <n v="4.4553283080000003"/>
        <n v="0.33678960299999999"/>
        <n v="2.8599536350000001"/>
        <n v="3.2743292940000002"/>
        <n v="1.126719657"/>
        <n v="0.81101730999999999"/>
        <n v="4.5314675600000003"/>
        <n v="4.8472005630000004"/>
        <n v="4.9602750010000003"/>
        <n v="3.9698326910000001"/>
        <n v="3.3511601400000002"/>
        <n v="1.794078236"/>
        <n v="0.93985173"/>
        <n v="0.48700493700000003"/>
        <n v="3.4971575960000001"/>
        <n v="4.1496228970000004"/>
        <n v="4.5774485159999996"/>
        <n v="4.4116548619999998"/>
        <n v="4.9987322340000002"/>
        <n v="1.295913654"/>
        <n v="3.8402073149999998"/>
        <n v="2.9736516110000002"/>
        <n v="1.3801011489999999"/>
        <n v="4.9113360789999998"/>
        <n v="4.4997007130000002"/>
        <n v="0.72972677500000005"/>
        <n v="0.228175877"/>
        <n v="3.472820735"/>
        <n v="3.0602400809999999"/>
        <n v="4.6854965579999996"/>
        <n v="1.2466259070000001"/>
        <n v="0.51350094499999999"/>
        <n v="1.3701551350000001"/>
        <n v="0.19274543899999999"/>
        <n v="0.275874481"/>
        <n v="4.5828032490000004"/>
        <n v="1.8248812539999999"/>
        <n v="2.1129641050000001"/>
        <n v="0.19002110699999999"/>
        <n v="1.4255567229999999"/>
        <n v="4.0431573199999997"/>
        <n v="3.1159057020000001"/>
        <n v="3.7935249450000001"/>
        <n v="2.2913473299999998"/>
        <n v="1.6176731870000001"/>
        <n v="2.4657694569999999"/>
        <n v="1.683048235"/>
        <n v="4.2109583739999996"/>
        <n v="1.5586012060000001"/>
        <n v="3.3328418379999998"/>
        <n v="0.77121288899999996"/>
        <n v="3.4656458190000001"/>
        <n v="4.5751685870000003"/>
        <n v="3.082057458"/>
        <n v="2.843291362"/>
        <n v="4.8094795130000003"/>
        <n v="3.1742431209999999"/>
        <n v="1.3717971229999999"/>
        <n v="1.532716017"/>
        <n v="3.5560025479999999"/>
        <n v="3.7036393099999998"/>
        <n v="1.587131536"/>
        <n v="1.792185492"/>
        <n v="4.9561768930000003"/>
        <n v="0.59956749300000001"/>
        <n v="2.082760639"/>
        <n v="0.40599290300000002"/>
        <n v="4.1232839739999996"/>
        <n v="0.55249461099999997"/>
        <n v="3.4026360470000001"/>
        <n v="0.37676877800000003"/>
        <n v="3.3969896849999999"/>
        <n v="4.2308810399999999"/>
        <n v="2.0542254820000001"/>
        <n v="2.658419818"/>
        <n v="2.067554516"/>
        <n v="1.572394917"/>
        <n v="4.0359906629999998"/>
        <n v="1.4328126109999999"/>
        <n v="3.64242278"/>
        <n v="1.1103656879999999"/>
        <n v="1.3242836010000001"/>
        <n v="1.7486596969999999"/>
        <n v="2.9868662490000002"/>
        <n v="2.3266693639999998"/>
        <n v="3.7512095680000002"/>
        <n v="1.146479772"/>
        <n v="0.15229421000000001"/>
        <n v="3.9051316119999999"/>
        <n v="0.39145279900000002"/>
        <n v="3.0934468590000002"/>
        <n v="1.953213241"/>
        <n v="3.9900887100000002"/>
        <n v="4.3846313160000001"/>
        <n v="4.2699184570000002"/>
        <n v="3.9083008119999998"/>
        <n v="1.4183559210000001"/>
        <n v="4.0782592529999997"/>
        <n v="2.714044532"/>
        <n v="0.358507413"/>
        <n v="2.339000365"/>
        <n v="4.7165737930000002"/>
        <n v="4.4505108140000003"/>
        <n v="0.60109497700000003"/>
        <n v="3.7462207599999999"/>
        <n v="4.0483850429999997"/>
        <n v="1.4298021219999999"/>
        <n v="2.4108819970000002"/>
        <n v="3.583840913"/>
        <n v="2.251303295"/>
        <n v="0.65270490199999998"/>
        <n v="3.558823979"/>
        <n v="4.5670295799999998"/>
        <n v="3.297175169"/>
        <n v="3.8916236679999998"/>
        <n v="1.8559764249999999"/>
        <n v="0.99767140099999996"/>
        <n v="3.2495909420000002"/>
        <n v="1.7060789089999999"/>
        <n v="4.3143602430000003"/>
        <n v="0.70087744500000004"/>
        <n v="2.2239721289999999"/>
        <n v="2.0439652420000001"/>
        <n v="4.6964638819999998"/>
        <n v="0.85036052299999998"/>
        <n v="0.14824944300000001"/>
        <n v="1.266617543"/>
        <n v="4.1193566129999999"/>
        <n v="1.1256768989999999"/>
        <n v="1.280302512"/>
        <n v="0.73650414200000003"/>
        <n v="3.6056373960000001"/>
        <n v="0.43895353300000001"/>
        <n v="1.722920681"/>
        <n v="1.48424376"/>
        <n v="2.8202826760000002"/>
        <n v="3.6790396990000001"/>
        <n v="2.71109453"/>
        <n v="4.6620273660000002"/>
        <n v="3.9106338439999999"/>
        <n v="3.720126778"/>
        <n v="4.4755264989999999"/>
        <n v="2.2949238369999998"/>
        <n v="2.6993186169999999"/>
        <n v="2.137294137"/>
        <n v="4.2668469050000004"/>
        <n v="1.2255413449999999"/>
        <n v="1.2745744830000001"/>
        <n v="1.9257650079999999"/>
        <n v="1.228679877"/>
        <n v="2.8489334980000001"/>
        <n v="0.75900152200000004"/>
        <n v="1.668912475"/>
        <n v="4.5758790229999997"/>
        <n v="2.105204853"/>
        <n v="3.766345211"/>
        <n v="1.31306609"/>
        <n v="4.0559935439999997"/>
        <n v="3.8386653879999999"/>
        <n v="1.9921640009999999"/>
        <n v="4.7765448199999998"/>
        <n v="4.5621507780000004"/>
        <n v="4.8152736709999999"/>
        <n v="2.1967819820000001"/>
        <n v="1.0676205599999999"/>
        <n v="3.170627332"/>
        <n v="3.455388476"/>
        <n v="0.71466474400000002"/>
        <n v="3.9537668680000002"/>
        <n v="0.18849507700000001"/>
        <n v="2.4653690990000001"/>
        <n v="1.721979672"/>
        <n v="3.7274849940000001"/>
        <n v="1.6325275640000001"/>
        <n v="4.151354853"/>
        <n v="3.0152720949999998"/>
        <n v="3.9900774729999999"/>
        <n v="4.9477691249999998"/>
        <n v="3.427875894"/>
        <n v="4.9262565499999997"/>
        <n v="0.24129800200000001"/>
        <n v="1.756885944"/>
        <n v="0.62848099599999996"/>
        <n v="1.3852941640000001"/>
        <n v="4.2105507060000003"/>
        <n v="0.258384"/>
        <n v="2.648896385"/>
        <n v="2.8789306670000001"/>
        <n v="2.8496406190000001"/>
        <n v="2.4289556619999999"/>
        <n v="3.9739545270000001"/>
        <n v="0.75436113900000001"/>
        <n v="1.6218273759999999"/>
        <n v="3.1170576620000001"/>
        <n v="3.4856616950000001"/>
        <n v="2.080327316"/>
        <n v="4.3893191900000001"/>
        <n v="2.1359176440000001"/>
        <n v="2.0736030580000002"/>
        <n v="0.27741558100000002"/>
        <n v="2.8005925469999999"/>
        <n v="3.5725361090000001"/>
        <n v="0.66074700099999994"/>
        <n v="1.596620554"/>
        <n v="3.9281590739999999"/>
        <n v="1.8930052340000001"/>
        <n v="1.283852064"/>
        <n v="3.3937832509999999"/>
        <n v="1.0641180109999999"/>
        <n v="4.488699306"/>
        <n v="0.61743214099999999"/>
        <n v="3.562094031"/>
        <n v="4.3626548559999998"/>
        <n v="0.71835594599999997"/>
        <n v="3.421685101"/>
        <n v="2.9030677319999998"/>
        <n v="2.4524416969999998"/>
        <n v="2.507895591"/>
        <n v="3.6376871130000001"/>
        <n v="4.6949341090000001"/>
        <n v="0.54713312999999997"/>
        <n v="0.195562973"/>
        <n v="4.0479534829999997"/>
        <n v="0.63002999900000001"/>
        <n v="4.9348143010000003"/>
        <n v="3.1348064199999999"/>
        <n v="3.2892453370000001"/>
        <n v="1.0745693439999999"/>
        <n v="1.2775303200000001"/>
        <n v="3.3308164850000002"/>
        <n v="4.5576615059999996"/>
        <n v="4.9137137170000003"/>
        <n v="1.070351638"/>
        <n v="0.75718615099999997"/>
        <n v="0.376366653"/>
        <n v="1.54410275"/>
        <n v="0.10887896599999999"/>
        <n v="1.1967086220000001"/>
        <n v="1.7681612920000001"/>
        <n v="4.9558322309999996"/>
        <n v="2.66535381"/>
        <n v="1.1030983430000001"/>
        <n v="1.7406098889999999"/>
        <n v="1.7185076690000001"/>
        <n v="0.196656158"/>
        <n v="0.76239696499999998"/>
        <n v="3.5064626529999998"/>
        <n v="0.68922983400000004"/>
        <n v="1.2305979549999999"/>
        <n v="1.8186127620000001"/>
        <n v="3.8129012279999999"/>
        <n v="2.9537647279999999"/>
        <n v="3.4760999259999998"/>
        <n v="2.8783603950000001"/>
        <n v="3.4496028839999999"/>
        <n v="0.113926553"/>
        <n v="4.661400907"/>
        <n v="0.64350913099999996"/>
        <n v="2.09062057"/>
        <n v="3.8780880139999998"/>
        <n v="2.2326305180000001"/>
        <n v="4.7395285029999998"/>
        <n v="2.3911858480000001"/>
        <n v="4.3872030869999996"/>
        <n v="4.0730577549999998"/>
        <n v="4.906832884"/>
        <n v="4.6400841259999996"/>
        <n v="4.5008067900000004"/>
        <n v="3.6848612690000002"/>
        <n v="1.8982909219999999"/>
        <n v="0.62001455100000002"/>
        <n v="3.4743607559999998"/>
        <n v="4.8954049990000001"/>
        <n v="4.6507739089999998"/>
        <n v="4.0410930929999997"/>
        <n v="0.89926190800000005"/>
        <n v="1.321098476"/>
        <n v="1.7751414489999999"/>
        <n v="0.92447617699999995"/>
        <n v="2.9500915299999999"/>
        <n v="4.8797075679999997"/>
        <n v="3.8311482840000002"/>
        <n v="2.1745950700000001"/>
        <n v="0.12207195699999999"/>
        <n v="1.6350524550000001"/>
        <n v="2.68112051"/>
        <n v="1.6888292819999999"/>
        <n v="0.64407112300000002"/>
        <n v="2.2695482889999998"/>
        <n v="3.228429846"/>
        <n v="3.3856484820000001"/>
        <n v="3.9608615980000001"/>
      </sharedItems>
    </cacheField>
    <cacheField name="Transportation modes" numFmtId="0">
      <sharedItems count="3">
        <s v="Road"/>
        <s v="Air"/>
        <s v="Rail"/>
      </sharedItems>
    </cacheField>
    <cacheField name="Routes" numFmtId="0">
      <sharedItems count="4">
        <s v="Route B"/>
        <s v="Route A"/>
        <s v="Route C"/>
        <s v="nan"/>
      </sharedItems>
    </cacheField>
    <cacheField name="Revenue" numFmtId="165">
      <sharedItems containsSemiMixedTypes="0" containsString="0" containsNumber="1" minValue="102.4310952" maxValue="999.54671540000004"/>
    </cacheField>
    <cacheField name="Profitability" numFmtId="165">
      <sharedItems containsSemiMixedTypes="0" containsString="0" containsNumber="1" minValue="10.080273851000001" maxValue="976.02035283400005" count="488">
        <n v="158.46931623500001"/>
        <n v="629.06439445199999"/>
        <n v="310.97267464099997"/>
        <n v="159.522200785"/>
        <n v="447.04443367499999"/>
        <n v="32.672640130999994"/>
        <n v="773.23149456299996"/>
        <n v="486.43394625199994"/>
        <n v="131.33419776299996"/>
        <n v="230.99635923600002"/>
        <n v="408.50334769400001"/>
        <n v="211.630611587"/>
        <n v="262.80088934000003"/>
        <n v="477.44395977100004"/>
        <n v="769.95486323800003"/>
        <n v="433.33734456999997"/>
        <n v="678.696429599"/>
        <n v="822.98845625700005"/>
        <n v="260.12311953300002"/>
        <n v="721.33692147600004"/>
        <n v="752.83788193099997"/>
        <n v="390.66936220800005"/>
        <n v="893.51586535599995"/>
        <n v="274.64265930300002"/>
        <n v="311.00796714800003"/>
        <n v="723.00395147000006"/>
        <n v="423.01948039199999"/>
        <n v="374.33259390799998"/>
        <n v="158.48940115099998"/>
        <n v="723.63125305200003"/>
        <n v="738.81450454000003"/>
        <n v="887.81858307799996"/>
        <n v="351.023409722"/>
        <n v="254.57696460299999"/>
        <n v="651.43968753000001"/>
        <n v="695.22368265799992"/>
        <n v="281.99026588499999"/>
        <n v="100.018653337"/>
        <n v="741.17829998800005"/>
        <n v="944.76048504100004"/>
        <n v="666.63607289699996"/>
        <n v="304.856909132"/>
        <n v="699.30844275300001"/>
        <n v="124.82150733299999"/>
        <n v="929.50840539300009"/>
        <n v="879.2973988"/>
        <n v="511.26293744000003"/>
        <n v="773.53676368399999"/>
        <n v="897.45864016600001"/>
        <n v="800.90499717799992"/>
        <n v="596.38594326999998"/>
        <n v="549.46507059400005"/>
        <n v="426.02935843099999"/>
        <n v="597.69733798100003"/>
        <n v="764.00306982999996"/>
        <n v="927.94746716600002"/>
        <n v="492.968505763"/>
        <n v="590.51792959199997"/>
        <n v="425.91963885299998"/>
        <n v="663.01260290199991"/>
        <n v="628.02765593399999"/>
        <n v="10.080273851000001"/>
        <n v="557.241102254"/>
        <n v="148.63238522"/>
        <n v="103.63679384700001"/>
        <n v="745.70147813000005"/>
        <n v="96.138466706999992"/>
        <n v="173.33969853600001"/>
        <n v="439.79946790499997"/>
        <n v="800.802270894"/>
        <n v="390.19121769200007"/>
        <n v="310.26793619199998"/>
        <n v="391.66247367900002"/>
        <n v="723.23654694900006"/>
        <n v="524.74588498399999"/>
        <n v="824.70013022700005"/>
        <n v="580.54696624299993"/>
        <n v="525.19845112600001"/>
        <n v="747.92692056999988"/>
        <n v="853.09687916300004"/>
        <n v="352.905499023"/>
        <n v="234.42864043399996"/>
        <n v="571.36640195299992"/>
        <n v="448.83046971800002"/>
        <n v="901.47316035200004"/>
        <n v="436.26287603600008"/>
        <n v="130.58431093300001"/>
        <n v="796.01316193000002"/>
        <n v="233.271265755"/>
        <n v="812.88080921200003"/>
        <n v="364.81451686700001"/>
        <n v="343.56663586399998"/>
        <n v="868.09946910899998"/>
        <n v="536.81344540500004"/>
        <n v="121.06738102799999"/>
        <n v="383.25745816900002"/>
        <n v="695.74586372099998"/>
        <n v="230.84500211899999"/>
        <n v="552.57642800999997"/>
        <n v="684.88411212999995"/>
        <n v="339.01510350799998"/>
        <n v="652.05359322800007"/>
        <n v="814.90953732699995"/>
        <n v="445.20626968499994"/>
        <n v="384.898497765"/>
        <n v="283.46548472799998"/>
        <n v="555.19263811199994"/>
        <n v="850.22119570599989"/>
        <n v="330.52311791900001"/>
        <n v="404.20731494500001"/>
        <n v="374.16741333499999"/>
        <n v="549.31965278199993"/>
        <n v="259.08496406900002"/>
        <n v="766.11581330599995"/>
        <n v="299.27588476699998"/>
        <n v="503.23302292199992"/>
        <n v="547.56522841900005"/>
        <n v="157.75832056400003"/>
        <n v="686.59086822400002"/>
        <n v="225.30733189700001"/>
        <n v="164.92822053800001"/>
        <n v="496.43694005099997"/>
        <n v="646.86865208699999"/>
        <n v="104.58442247800001"/>
        <n v="133.21765464900002"/>
        <n v="745.66488313999992"/>
        <n v="780.80820238299998"/>
        <n v="623.91794450999998"/>
        <n v="458.13702599600003"/>
        <n v="613.83915767999997"/>
        <n v="791.25024171000007"/>
        <n v="121.630508843"/>
        <n v="753.13017570200009"/>
        <n v="504.49901048700002"/>
        <n v="545.75094769899988"/>
        <n v="660.83793294900011"/>
        <n v="873.5743404640001"/>
        <n v="68.595686683000011"/>
        <n v="110.54184791"/>
        <n v="246.569599533"/>
        <n v="968.79876385199998"/>
        <n v="676.62731922099988"/>
        <n v="560.77552527699993"/>
        <n v="793.74808663299996"/>
        <n v="804.09373817100004"/>
        <n v="604.70147206499996"/>
        <n v="347.94742282599998"/>
        <n v="89.416151443000018"/>
        <n v="563.18595800300011"/>
        <n v="685.00172481999994"/>
        <n v="92.864943655999994"/>
        <n v="582.950224714"/>
        <n v="300.49278991699998"/>
        <n v="759.73554723300003"/>
        <n v="557.37527136499989"/>
        <n v="126.76965666299999"/>
        <n v="506.53159630300013"/>
        <n v="398.27815635500002"/>
        <n v="188.89289986800003"/>
        <n v="763.02302945700001"/>
        <n v="35.763232395999992"/>
        <n v="296.083592829"/>
        <n v="29.599826192000009"/>
        <n v="138.80261803500002"/>
        <n v="328.90940206099998"/>
        <n v="61.892102096000002"/>
        <n v="586.21442065700001"/>
        <n v="79.169443926"/>
        <n v="712.1800857720001"/>
        <n v="127.49039706400002"/>
        <n v="56.525176751000018"/>
        <n v="303.644682295"/>
        <n v="854.69994544000008"/>
        <n v="590.11521232000007"/>
        <n v="718.27666012899999"/>
        <n v="161.82729397099999"/>
        <n v="822.74133145600013"/>
        <n v="15.620342644999994"/>
        <n v="201.164208043"/>
        <n v="619.38128009599995"/>
        <n v="346.785631056"/>
        <n v="892.71462855900006"/>
        <n v="66.294865044000005"/>
        <n v="924.30667495300008"/>
        <n v="614.88256825899998"/>
        <n v="564.23818843200002"/>
        <n v="74.730231473999993"/>
        <n v="250.147788679"/>
        <n v="854.45004187600011"/>
        <n v="359.056051083"/>
        <n v="662.45636828900001"/>
        <n v="976.02035283400005"/>
        <n v="278.76862282700006"/>
        <n v="601.71107434399994"/>
        <n v="658.34099090800009"/>
        <n v="194.21367809899999"/>
        <n v="148.51542222099999"/>
        <n v="469.18420413800004"/>
        <n v="378.35761265300005"/>
        <n v="677.59085084999992"/>
        <n v="146.53864232099997"/>
        <n v="956.35533908399998"/>
        <n v="72.907567978000003"/>
        <n v="543.56242033499996"/>
        <n v="574.385227945"/>
        <n v="145.02796776600002"/>
        <n v="128.64991267800002"/>
        <n v="728.2992556989999"/>
        <n v="859.98030640100001"/>
        <n v="255.19596954599999"/>
        <n v="467.48040739800001"/>
        <n v="71.597264068000001"/>
        <n v="629.44334947899995"/>
        <n v="793.26044833899994"/>
        <n v="330.69289553300001"/>
        <n v="939.72146825400011"/>
        <n v="105.36213213900001"/>
        <n v="653.62685608499999"/>
        <n v="397.340717187"/>
        <n v="405.44499604999999"/>
        <n v="422.037909136"/>
        <n v="277.39172628399996"/>
        <n v="666.51010392299997"/>
        <n v="649.52235368999993"/>
        <n v="263.16817093999998"/>
        <n v="801.971876243"/>
        <n v="356.517725128"/>
        <n v="729.83689216499999"/>
        <n v="144.261264598"/>
        <n v="176.511508343"/>
        <n v="292.13022294400002"/>
        <n v="591.72122222999997"/>
        <n v="650.73990770599994"/>
        <n v="404.15164895600003"/>
        <n v="119.76741222899997"/>
        <n v="406.96448164399993"/>
        <n v="647.4367132729999"/>
        <n v="639.56395557299993"/>
        <n v="162.23660702500001"/>
        <n v="57.990154886000006"/>
        <n v="734.10341099599998"/>
        <n v="134.28600692500001"/>
        <n v="77.619224107999997"/>
        <n v="86.792463391000013"/>
        <n v="402.23623753000004"/>
        <n v="500.75120240199999"/>
        <n v="585.55715886499991"/>
        <n v="274.606436223"/>
        <n v="690.88126931500005"/>
        <n v="173.267399721"/>
        <n v="820.98906638200003"/>
        <n v="520.75903020099997"/>
        <n v="569.61812122499998"/>
        <n v="234.107114932"/>
        <n v="85.200012139999998"/>
        <n v="429.83860531599998"/>
        <n v="620.52662316299995"/>
        <n v="114.92386253100001"/>
        <n v="904.30288711699995"/>
        <n v="929.40765167300003"/>
        <n v="514.48647599600008"/>
        <n v="906.00101402400003"/>
        <n v="216.25412421900003"/>
        <n v="31.963765433999995"/>
        <n v="111.38774669900002"/>
        <n v="549.01166379899996"/>
        <n v="117.54272253400001"/>
        <n v="945.72638379600005"/>
        <n v="200.48576114799999"/>
        <n v="299.80633185199997"/>
        <n v="763.19481855200002"/>
        <n v="283.31081367299998"/>
        <n v="298.42500645899997"/>
        <n v="580.49097252899992"/>
        <n v="327.14364508399996"/>
        <n v="200.42674621500001"/>
        <n v="290.15943537100003"/>
        <n v="462.21973362900007"/>
        <n v="923.231613219"/>
        <n v="754.88774106499989"/>
        <n v="278.33757224599998"/>
        <n v="375.75041878100006"/>
        <n v="497.88397975500004"/>
        <n v="897.32463675600002"/>
        <n v="184.015920779"/>
        <n v="739.271246518"/>
        <n v="874.79638314199997"/>
        <n v="201.844354493"/>
        <n v="228.10370609299997"/>
        <n v="248.14075766100001"/>
        <n v="29.637530827999996"/>
        <n v="548.33938336300002"/>
        <n v="599.15181627000015"/>
        <n v="615.46501452300004"/>
        <n v="75.521882976000001"/>
        <n v="119.13017545000001"/>
        <n v="217.579555559"/>
        <n v="298.06487896700003"/>
        <n v="793.76002709900001"/>
        <n v="147.41855182400002"/>
        <n v="121.025117095"/>
        <n v="375.13279145100006"/>
        <n v="384.74306619399999"/>
        <n v="419.36587560200002"/>
        <n v="819.94641685199997"/>
        <n v="132.31204246299998"/>
        <n v="644.75978869300002"/>
        <n v="362.53646065100003"/>
        <n v="320.29276640300003"/>
        <n v="897.26890014100002"/>
        <n v="269.906612"/>
        <n v="587.05292669300002"/>
        <n v="286.70482808600002"/>
        <n v="493.30285771999996"/>
        <n v="759.82126307599992"/>
        <n v="839.43084674800002"/>
        <n v="842.11121777299991"/>
        <n v="583.89926854800001"/>
        <n v="266.42071278000003"/>
        <n v="623.99711701199999"/>
        <n v="683.41221678800002"/>
        <n v="62.138976237999998"/>
        <n v="444.78052698899995"/>
        <n v="818.37642769600006"/>
        <n v="438.63003007500004"/>
        <n v="322.19181132099999"/>
        <n v="865.40872629199998"/>
        <n v="223.39586213799998"/>
        <n v="178.33459717799997"/>
        <n v="683.35546129700003"/>
        <n v="324.80553790200003"/>
        <n v="718.679250809"/>
        <n v="145.791168838"/>
        <n v="232.49909545599996"/>
        <n v="169.65503512500001"/>
        <n v="349.526532659"/>
        <n v="57.265953816999989"/>
        <n v="200.221892873"/>
        <n v="461.42563373900003"/>
        <n v="95.428256974000021"/>
        <n v="494.12165307499993"/>
        <n v="470.00786193000005"/>
        <n v="768.58577597399994"/>
        <n v="593.30357300000003"/>
        <n v="444.20344564000004"/>
        <n v="220.98376141099999"/>
        <n v="700.36683999000002"/>
        <n v="721.57688734200008"/>
        <n v="197.418359006"/>
        <n v="878.46678948099998"/>
        <n v="68.890593383999999"/>
        <n v="75.89668693900002"/>
        <n v="812.53497795499993"/>
        <n v="519.91185568899994"/>
        <n v="703.869153525"/>
        <n v="201.43273335700002"/>
        <n v="512.02962426399995"/>
        <n v="374.73319092600002"/>
        <n v="789.75972603599996"/>
        <n v="46.896082501999999"/>
        <n v="258.25159077900003"/>
        <n v="136.183458105"/>
        <n v="795.63252843100008"/>
        <n v="483.65697538200004"/>
        <n v="442.236779222"/>
        <n v="425.86420980800006"/>
        <n v="948.35676173999991"/>
        <n v="782.71491853199996"/>
        <n v="688.55372911699999"/>
        <n v="319.29951072299997"/>
        <n v="229.29259288899999"/>
        <n v="850.29757422"/>
        <n v="458.87298404400002"/>
        <n v="261.72193380700003"/>
        <n v="466.33798932700006"/>
        <n v="836.7406890420001"/>
        <n v="383.28790351800001"/>
        <n v="580.27241708099996"/>
        <n v="742.64190138399999"/>
        <n v="462.53130015100004"/>
        <n v="249.17948363500003"/>
        <n v="960.14858457299999"/>
        <n v="874.02078645400002"/>
        <n v="758.71141787399995"/>
        <n v="650.67141455300009"/>
        <n v="305.14283163699997"/>
        <n v="839.75729796899998"/>
        <n v="333.94319320599999"/>
        <n v="723.73678198099992"/>
        <n v="894.122071527"/>
        <n v="538.2317589380001"/>
        <n v="744.04882291000013"/>
        <n v="725.62176603600005"/>
        <n v="202.27560891599995"/>
        <n v="644.88956341099993"/>
        <n v="117.14454462499999"/>
        <n v="534.72090400600007"/>
        <n v="172.20041435100001"/>
        <n v="401.55591051200003"/>
        <n v="757.07383608500004"/>
        <n v="927.01857541900006"/>
        <n v="367.43383631399996"/>
        <n v="536.80622746900008"/>
        <n v="486.43992603700008"/>
        <n v="926.06975819499996"/>
        <n v="492.01196233499991"/>
        <n v="635.75252822499988"/>
        <n v="857.43884047000006"/>
        <n v="871.86143640900002"/>
        <n v="847.31522201600001"/>
        <n v="897.171634359"/>
        <n v="257.53583302799996"/>
        <n v="441.74011000799999"/>
        <n v="787.67595406699991"/>
        <n v="366.30651734600002"/>
        <n v="580.93068990300003"/>
        <n v="136.82240096800001"/>
        <n v="76.493091889999988"/>
        <n v="444.82810483500003"/>
        <n v="536.31483632599986"/>
        <n v="415.86751041700001"/>
        <n v="526.20143470599999"/>
        <n v="470.52680163399992"/>
        <n v="666.71373715899995"/>
        <n v="592.89543114800006"/>
        <n v="433.11708690900002"/>
        <n v="455.13601114900001"/>
        <n v="128.50923207799997"/>
        <n v="489.16743215300005"/>
        <n v="573.58892977700009"/>
        <n v="476.32004806200007"/>
        <n v="648.81684517499991"/>
        <n v="138.70002266099999"/>
        <n v="876.33442221400003"/>
        <n v="60.445196520000003"/>
        <n v="910.90474260400003"/>
        <n v="460.92686342399992"/>
        <n v="442.44505642300004"/>
        <n v="304.056609923"/>
        <n v="69.349782895000004"/>
        <n v="248.59537479899996"/>
        <n v="171.02044703600001"/>
        <n v="611.40798123899992"/>
        <n v="300.57214085300001"/>
        <n v="704.7452702999999"/>
        <n v="191.20780786199998"/>
        <n v="868.32966722599997"/>
        <n v="537.85158353999998"/>
        <n v="149.17129878600002"/>
        <n v="417.94953120100001"/>
        <n v="205.91020572499997"/>
        <n v="205.32749056600002"/>
        <n v="465.75573453200002"/>
        <n v="680.04594479399987"/>
        <n v="824.25397319599995"/>
        <n v="514.04276561800009"/>
        <n v="908.60409161600001"/>
        <n v="894.829103315"/>
        <n v="795.64696322200007"/>
        <n v="500.42431333899998"/>
        <n v="129.56929693000001"/>
        <n v="201.20417824099997"/>
        <n v="592.60066321500005"/>
        <n v="453.968795978"/>
        <n v="144.18381967099998"/>
        <n v="445.39260823999996"/>
        <n v="94.262098647000002"/>
        <n v="737.06943270500005"/>
        <n v="137.783885922"/>
        <n v="744.63969855300002"/>
        <n v="118.92185137700002"/>
        <n v="509.61910336400001"/>
        <n v="736.57249234599999"/>
        <n v="228.49251904200003"/>
        <n v="207.67259381"/>
        <n v="310.06384419799997"/>
        <n v="537.294994847"/>
        <n v="554.00268482199999"/>
        <n v="167.65465059000002"/>
        <n v="447.31882662000004"/>
        <n v="320.52240985499998"/>
        <n v="771.16546183399987"/>
        <n v="342.54630901799999"/>
        <n v="755.38076043000001"/>
        <n v="434.96023885900001"/>
        <n v="761.42257890000008"/>
        <n v="357.64401995099996"/>
        <n v="544.85972550500003"/>
      </sharedItems>
    </cacheField>
  </cacheFields>
  <extLst>
    <ext xmlns:x14="http://schemas.microsoft.com/office/spreadsheetml/2009/9/main" uri="{725AE2AE-9491-48be-B2B4-4EB974FC3084}">
      <x14:pivotCacheDefinition pivotCacheId="521094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s v="haircare"/>
    <x v="0"/>
    <n v="71.33"/>
    <n v="46"/>
    <n v="317"/>
    <x v="0"/>
    <n v="39"/>
    <s v="Low Risk"/>
    <n v="8"/>
    <x v="0"/>
    <x v="0"/>
    <x v="0"/>
    <s v="New York"/>
    <n v="20"/>
    <n v="389"/>
    <x v="0"/>
    <x v="0"/>
    <s v="Pass"/>
    <x v="0"/>
    <x v="0"/>
    <x v="0"/>
    <n v="238.65548759999999"/>
    <x v="0"/>
  </r>
  <r>
    <s v="skincare"/>
    <x v="1"/>
    <n v="55.93"/>
    <n v="11"/>
    <n v="110"/>
    <x v="1"/>
    <n v="60"/>
    <s v="High Risk"/>
    <n v="6"/>
    <x v="1"/>
    <x v="1"/>
    <x v="1"/>
    <s v="Michigan"/>
    <n v="12"/>
    <n v="779"/>
    <x v="1"/>
    <x v="1"/>
    <s v="Pending"/>
    <x v="1"/>
    <x v="1"/>
    <x v="0"/>
    <n v="662.63148260000003"/>
    <x v="1"/>
  </r>
  <r>
    <s v="skincare"/>
    <x v="2"/>
    <n v="34.409999999999997"/>
    <n v="61"/>
    <n v="250"/>
    <x v="2"/>
    <n v="28"/>
    <s v="Low Risk"/>
    <n v="6"/>
    <x v="2"/>
    <x v="2"/>
    <x v="2"/>
    <s v="Michigan"/>
    <n v="5"/>
    <n v="146"/>
    <x v="2"/>
    <x v="2"/>
    <s v="Pass"/>
    <x v="2"/>
    <x v="0"/>
    <x v="1"/>
    <n v="404.77894429999998"/>
    <x v="2"/>
  </r>
  <r>
    <s v="skincare"/>
    <x v="3"/>
    <n v="82.31"/>
    <n v="79"/>
    <n v="382"/>
    <x v="1"/>
    <n v="97"/>
    <s v="High Risk"/>
    <n v="2"/>
    <x v="1"/>
    <x v="3"/>
    <x v="3"/>
    <s v="Michigan"/>
    <n v="3"/>
    <n v="814"/>
    <x v="3"/>
    <x v="3"/>
    <s v="Pending"/>
    <x v="3"/>
    <x v="0"/>
    <x v="0"/>
    <n v="213.83223100000001"/>
    <x v="3"/>
  </r>
  <r>
    <s v="haircare"/>
    <x v="4"/>
    <n v="70.05"/>
    <n v="87"/>
    <n v="6"/>
    <x v="3"/>
    <n v="54"/>
    <s v="Low Risk"/>
    <n v="1"/>
    <x v="3"/>
    <x v="4"/>
    <x v="4"/>
    <s v="New York"/>
    <n v="11"/>
    <n v="313"/>
    <x v="4"/>
    <x v="4"/>
    <s v="Pending"/>
    <x v="4"/>
    <x v="0"/>
    <x v="1"/>
    <n v="473.03288129999999"/>
    <x v="4"/>
  </r>
  <r>
    <s v="haircare"/>
    <x v="5"/>
    <n v="20.45"/>
    <n v="82"/>
    <n v="458"/>
    <x v="4"/>
    <n v="37"/>
    <s v="Low Risk"/>
    <n v="2"/>
    <x v="0"/>
    <x v="5"/>
    <x v="3"/>
    <s v="Alaska"/>
    <n v="25"/>
    <n v="857"/>
    <x v="5"/>
    <x v="5"/>
    <s v="Pending"/>
    <x v="5"/>
    <x v="2"/>
    <x v="1"/>
    <n v="113.327975"/>
    <x v="5"/>
  </r>
  <r>
    <s v="haircare"/>
    <x v="6"/>
    <n v="91.54"/>
    <n v="7"/>
    <n v="83"/>
    <x v="5"/>
    <n v="9"/>
    <s v="High Risk"/>
    <n v="4"/>
    <x v="0"/>
    <x v="6"/>
    <x v="0"/>
    <s v="Texas"/>
    <n v="30"/>
    <n v="123"/>
    <x v="6"/>
    <x v="6"/>
    <s v="Pass"/>
    <x v="6"/>
    <x v="1"/>
    <x v="1"/>
    <n v="856.94048429999998"/>
    <x v="6"/>
  </r>
  <r>
    <s v="skincare"/>
    <x v="7"/>
    <n v="83.14"/>
    <n v="94"/>
    <n v="207"/>
    <x v="4"/>
    <n v="82"/>
    <s v="Low Risk"/>
    <n v="2"/>
    <x v="1"/>
    <x v="7"/>
    <x v="1"/>
    <s v="Texas"/>
    <n v="4"/>
    <n v="420"/>
    <x v="7"/>
    <x v="7"/>
    <s v="Fail"/>
    <x v="7"/>
    <x v="1"/>
    <x v="1"/>
    <n v="562.14816519999999"/>
    <x v="7"/>
  </r>
  <r>
    <s v="skincare"/>
    <x v="8"/>
    <n v="95.23"/>
    <n v="20"/>
    <n v="899"/>
    <x v="6"/>
    <n v="56"/>
    <s v="High Risk"/>
    <n v="1"/>
    <x v="0"/>
    <x v="8"/>
    <x v="4"/>
    <s v="Texas"/>
    <n v="5"/>
    <n v="373"/>
    <x v="8"/>
    <x v="8"/>
    <s v="Pending"/>
    <x v="8"/>
    <x v="2"/>
    <x v="2"/>
    <n v="225.24400979999999"/>
    <x v="8"/>
  </r>
  <r>
    <s v="skincare"/>
    <x v="9"/>
    <n v="73.94"/>
    <n v="80"/>
    <n v="389"/>
    <x v="7"/>
    <n v="59"/>
    <s v="Low Risk"/>
    <n v="7"/>
    <x v="1"/>
    <x v="9"/>
    <x v="3"/>
    <s v="Washington"/>
    <n v="1"/>
    <n v="655"/>
    <x v="8"/>
    <x v="9"/>
    <s v="Pending"/>
    <x v="9"/>
    <x v="1"/>
    <x v="1"/>
    <n v="313.28228660000002"/>
    <x v="9"/>
  </r>
  <r>
    <s v="haircare"/>
    <x v="10"/>
    <n v="63.27"/>
    <n v="86"/>
    <n v="313"/>
    <x v="8"/>
    <n v="85"/>
    <s v="Low Risk"/>
    <n v="8"/>
    <x v="3"/>
    <x v="10"/>
    <x v="1"/>
    <s v="Texas"/>
    <n v="27"/>
    <n v="943"/>
    <x v="9"/>
    <x v="10"/>
    <s v="Pass"/>
    <x v="10"/>
    <x v="2"/>
    <x v="0"/>
    <n v="503.1776729"/>
    <x v="10"/>
  </r>
  <r>
    <s v="skincare"/>
    <x v="11"/>
    <n v="44.73"/>
    <n v="79"/>
    <n v="21"/>
    <x v="9"/>
    <n v="2"/>
    <s v="Low Risk"/>
    <n v="6"/>
    <x v="1"/>
    <x v="11"/>
    <x v="4"/>
    <s v="Washington"/>
    <n v="28"/>
    <n v="412"/>
    <x v="10"/>
    <x v="11"/>
    <s v="Fail"/>
    <x v="11"/>
    <x v="1"/>
    <x v="2"/>
    <n v="269.98244449999999"/>
    <x v="11"/>
  </r>
  <r>
    <s v="skincare"/>
    <x v="12"/>
    <n v="93.61"/>
    <n v="69"/>
    <n v="409"/>
    <x v="10"/>
    <n v="61"/>
    <s v="Low Risk"/>
    <n v="4"/>
    <x v="1"/>
    <x v="12"/>
    <x v="4"/>
    <s v="Texas"/>
    <n v="29"/>
    <n v="462"/>
    <x v="11"/>
    <x v="12"/>
    <s v="Fail"/>
    <x v="12"/>
    <x v="0"/>
    <x v="0"/>
    <n v="341.73924540000002"/>
    <x v="12"/>
  </r>
  <r>
    <s v="haircare"/>
    <x v="13"/>
    <n v="87.28"/>
    <n v="71"/>
    <n v="894"/>
    <x v="11"/>
    <n v="58"/>
    <s v="Low Risk"/>
    <n v="6"/>
    <x v="3"/>
    <x v="13"/>
    <x v="3"/>
    <s v="Texas"/>
    <n v="18"/>
    <n v="767"/>
    <x v="8"/>
    <x v="13"/>
    <s v="Pass"/>
    <x v="13"/>
    <x v="2"/>
    <x v="2"/>
    <n v="580.94700780000005"/>
    <x v="13"/>
  </r>
  <r>
    <s v="haircare"/>
    <x v="14"/>
    <n v="9.3000000000000007"/>
    <n v="24"/>
    <n v="514"/>
    <x v="12"/>
    <n v="60"/>
    <s v="High Risk"/>
    <n v="3"/>
    <x v="3"/>
    <x v="14"/>
    <x v="1"/>
    <s v="Alaska"/>
    <n v="12"/>
    <n v="479"/>
    <x v="12"/>
    <x v="14"/>
    <s v="Pass"/>
    <x v="14"/>
    <x v="1"/>
    <x v="2"/>
    <n v="849.3481117"/>
    <x v="14"/>
  </r>
  <r>
    <s v="haircare"/>
    <x v="15"/>
    <n v="7.5"/>
    <n v="81"/>
    <n v="126"/>
    <x v="13"/>
    <n v="40"/>
    <s v="Low Risk"/>
    <n v="8"/>
    <x v="1"/>
    <x v="15"/>
    <x v="4"/>
    <s v="Arizona"/>
    <n v="13"/>
    <n v="810"/>
    <x v="13"/>
    <x v="15"/>
    <s v="Fail"/>
    <x v="15"/>
    <x v="1"/>
    <x v="2"/>
    <n v="461.6557171"/>
    <x v="15"/>
  </r>
  <r>
    <s v="haircare"/>
    <x v="16"/>
    <n v="40.76"/>
    <n v="88"/>
    <n v="808"/>
    <x v="11"/>
    <n v="36"/>
    <s v="Low Risk"/>
    <n v="2"/>
    <x v="1"/>
    <x v="16"/>
    <x v="0"/>
    <s v="Washington"/>
    <n v="9"/>
    <n v="773"/>
    <x v="14"/>
    <x v="16"/>
    <s v="Pending"/>
    <x v="16"/>
    <x v="1"/>
    <x v="1"/>
    <n v="745.27774620000002"/>
    <x v="16"/>
  </r>
  <r>
    <s v="skincare"/>
    <x v="17"/>
    <n v="82"/>
    <n v="11"/>
    <n v="699"/>
    <x v="10"/>
    <n v="37"/>
    <s v="High Risk"/>
    <n v="5"/>
    <x v="3"/>
    <x v="17"/>
    <x v="1"/>
    <s v="Arizona"/>
    <n v="2"/>
    <n v="569"/>
    <x v="11"/>
    <x v="17"/>
    <s v="Pending"/>
    <x v="17"/>
    <x v="0"/>
    <x v="2"/>
    <n v="889.0157921"/>
    <x v="17"/>
  </r>
  <r>
    <s v="haircare"/>
    <x v="18"/>
    <n v="98.79"/>
    <n v="14"/>
    <n v="873"/>
    <x v="14"/>
    <n v="79"/>
    <s v="High Risk"/>
    <n v="1"/>
    <x v="0"/>
    <x v="18"/>
    <x v="3"/>
    <s v="Michigan"/>
    <n v="5"/>
    <n v="845"/>
    <x v="12"/>
    <x v="18"/>
    <s v="Fail"/>
    <x v="18"/>
    <x v="0"/>
    <x v="2"/>
    <n v="294.67084629999999"/>
    <x v="18"/>
  </r>
  <r>
    <s v="haircare"/>
    <x v="19"/>
    <n v="19.29"/>
    <n v="58"/>
    <n v="13"/>
    <x v="7"/>
    <n v="92"/>
    <s v="High Risk"/>
    <n v="6"/>
    <x v="0"/>
    <x v="19"/>
    <x v="4"/>
    <s v="Alaska"/>
    <n v="13"/>
    <n v="774"/>
    <x v="12"/>
    <x v="19"/>
    <s v="Fail"/>
    <x v="19"/>
    <x v="1"/>
    <x v="0"/>
    <n v="826.47277340000005"/>
    <x v="19"/>
  </r>
  <r>
    <s v="skincare"/>
    <x v="20"/>
    <n v="61.44"/>
    <n v="25"/>
    <n v="970"/>
    <x v="15"/>
    <n v="18"/>
    <s v="Low Risk"/>
    <n v="2"/>
    <x v="1"/>
    <x v="20"/>
    <x v="1"/>
    <s v="Washington"/>
    <n v="16"/>
    <n v="215"/>
    <x v="3"/>
    <x v="20"/>
    <s v="Pass"/>
    <x v="20"/>
    <x v="0"/>
    <x v="1"/>
    <n v="781.66197850000003"/>
    <x v="20"/>
  </r>
  <r>
    <s v="haircare"/>
    <x v="21"/>
    <n v="41.18"/>
    <n v="25"/>
    <n v="977"/>
    <x v="16"/>
    <n v="98"/>
    <s v="High Risk"/>
    <n v="4"/>
    <x v="3"/>
    <x v="21"/>
    <x v="3"/>
    <s v="Arizona"/>
    <n v="16"/>
    <n v="704"/>
    <x v="15"/>
    <x v="21"/>
    <s v="nan"/>
    <x v="21"/>
    <x v="0"/>
    <x v="0"/>
    <n v="421.24356820000003"/>
    <x v="21"/>
  </r>
  <r>
    <s v="haircare"/>
    <x v="22"/>
    <n v="97.14"/>
    <n v="46"/>
    <n v="11"/>
    <x v="8"/>
    <n v="63"/>
    <s v="High Risk"/>
    <n v="6"/>
    <x v="1"/>
    <x v="22"/>
    <x v="1"/>
    <s v="Washington"/>
    <n v="24"/>
    <n v="141"/>
    <x v="16"/>
    <x v="22"/>
    <s v="nan"/>
    <x v="22"/>
    <x v="0"/>
    <x v="2"/>
    <n v="990.56796359999998"/>
    <x v="22"/>
  </r>
  <r>
    <s v="haircare"/>
    <x v="23"/>
    <n v="85"/>
    <n v="31"/>
    <n v="86"/>
    <x v="17"/>
    <n v="22"/>
    <s v="Low Risk"/>
    <n v="8"/>
    <x v="1"/>
    <x v="23"/>
    <x v="1"/>
    <s v="Alaska"/>
    <n v="3"/>
    <n v="895"/>
    <x v="8"/>
    <x v="23"/>
    <s v="Pending"/>
    <x v="23"/>
    <x v="2"/>
    <x v="0"/>
    <n v="336.31513430000001"/>
    <x v="23"/>
  </r>
  <r>
    <s v="haircare"/>
    <x v="24"/>
    <n v="84.64"/>
    <n v="9"/>
    <n v="523"/>
    <x v="16"/>
    <n v="11"/>
    <s v="High Risk"/>
    <n v="8"/>
    <x v="0"/>
    <x v="24"/>
    <x v="0"/>
    <s v="Alaska"/>
    <n v="22"/>
    <n v="478"/>
    <x v="16"/>
    <x v="24"/>
    <s v="Pending"/>
    <x v="24"/>
    <x v="0"/>
    <x v="2"/>
    <n v="329.3229394"/>
    <x v="24"/>
  </r>
  <r>
    <s v="skincare"/>
    <x v="25"/>
    <n v="49.53"/>
    <n v="15"/>
    <n v="908"/>
    <x v="14"/>
    <n v="58"/>
    <s v="High Risk"/>
    <n v="6"/>
    <x v="3"/>
    <x v="25"/>
    <x v="0"/>
    <s v="Texas"/>
    <n v="4"/>
    <n v="821"/>
    <x v="14"/>
    <x v="25"/>
    <s v="Fail"/>
    <x v="25"/>
    <x v="2"/>
    <x v="1"/>
    <n v="795.0332482"/>
    <x v="25"/>
  </r>
  <r>
    <s v="haircare"/>
    <x v="26"/>
    <n v="44.41"/>
    <n v="70"/>
    <n v="536"/>
    <x v="14"/>
    <n v="57"/>
    <s v="Low Risk"/>
    <n v="4"/>
    <x v="1"/>
    <x v="26"/>
    <x v="1"/>
    <s v="Michigan"/>
    <n v="11"/>
    <n v="305"/>
    <x v="17"/>
    <x v="26"/>
    <s v="Pending"/>
    <x v="26"/>
    <x v="2"/>
    <x v="2"/>
    <n v="491.19158620000002"/>
    <x v="26"/>
  </r>
  <r>
    <s v="skincare"/>
    <x v="27"/>
    <n v="30.97"/>
    <n v="16"/>
    <n v="300"/>
    <x v="18"/>
    <n v="77"/>
    <s v="High Risk"/>
    <n v="8"/>
    <x v="1"/>
    <x v="27"/>
    <x v="1"/>
    <s v="Washington"/>
    <n v="23"/>
    <n v="565"/>
    <x v="16"/>
    <x v="27"/>
    <s v="Fail"/>
    <x v="27"/>
    <x v="1"/>
    <x v="1"/>
    <n v="397.71549529999999"/>
    <x v="27"/>
  </r>
  <r>
    <s v="skincare"/>
    <x v="28"/>
    <n v="10.36"/>
    <n v="22"/>
    <n v="242"/>
    <x v="8"/>
    <n v="4"/>
    <s v="Low Risk"/>
    <n v="8"/>
    <x v="1"/>
    <x v="28"/>
    <x v="4"/>
    <s v="Alaska"/>
    <n v="26"/>
    <n v="831"/>
    <x v="18"/>
    <x v="28"/>
    <s v="Fail"/>
    <x v="28"/>
    <x v="0"/>
    <x v="1"/>
    <n v="260.79652479999999"/>
    <x v="28"/>
  </r>
  <r>
    <s v="haircare"/>
    <x v="29"/>
    <n v="87.15"/>
    <n v="25"/>
    <n v="121"/>
    <x v="11"/>
    <n v="86"/>
    <s v="High Risk"/>
    <n v="1"/>
    <x v="0"/>
    <x v="29"/>
    <x v="2"/>
    <s v="Alaska"/>
    <n v="14"/>
    <n v="379"/>
    <x v="19"/>
    <x v="29"/>
    <s v="Pending"/>
    <x v="29"/>
    <x v="0"/>
    <x v="0"/>
    <n v="788.79918780000003"/>
    <x v="29"/>
  </r>
  <r>
    <s v="skincare"/>
    <x v="30"/>
    <n v="82.23"/>
    <n v="84"/>
    <n v="146"/>
    <x v="17"/>
    <n v="7"/>
    <s v="Low Risk"/>
    <n v="4"/>
    <x v="2"/>
    <x v="30"/>
    <x v="4"/>
    <s v="Alaska"/>
    <n v="29"/>
    <n v="747"/>
    <x v="7"/>
    <x v="30"/>
    <s v="Pass"/>
    <x v="30"/>
    <x v="2"/>
    <x v="1"/>
    <n v="807.68962550000003"/>
    <x v="30"/>
  </r>
  <r>
    <s v="haircare"/>
    <x v="31"/>
    <n v="99.68"/>
    <n v="6"/>
    <n v="749"/>
    <x v="19"/>
    <n v="54"/>
    <s v="High Risk"/>
    <n v="7"/>
    <x v="1"/>
    <x v="31"/>
    <x v="4"/>
    <s v="Texas"/>
    <n v="16"/>
    <n v="217"/>
    <x v="10"/>
    <x v="31"/>
    <s v="Fail"/>
    <x v="31"/>
    <x v="2"/>
    <x v="1"/>
    <n v="961.58225189999996"/>
    <x v="31"/>
  </r>
  <r>
    <s v="skincare"/>
    <x v="32"/>
    <n v="57.77"/>
    <n v="13"/>
    <n v="355"/>
    <x v="20"/>
    <n v="88"/>
    <s v="High Risk"/>
    <n v="7"/>
    <x v="0"/>
    <x v="32"/>
    <x v="0"/>
    <s v="Alaska"/>
    <n v="22"/>
    <n v="336"/>
    <x v="20"/>
    <x v="32"/>
    <s v="Fail"/>
    <x v="32"/>
    <x v="1"/>
    <x v="0"/>
    <n v="386.34694339999999"/>
    <x v="32"/>
  </r>
  <r>
    <s v="skincare"/>
    <x v="33"/>
    <n v="78.05"/>
    <n v="78"/>
    <n v="684"/>
    <x v="21"/>
    <n v="68"/>
    <s v="Low Risk"/>
    <n v="8"/>
    <x v="0"/>
    <x v="33"/>
    <x v="3"/>
    <s v="Alaska"/>
    <n v="15"/>
    <n v="408"/>
    <x v="21"/>
    <x v="33"/>
    <s v="Pending"/>
    <x v="33"/>
    <x v="0"/>
    <x v="2"/>
    <n v="297.6571409"/>
    <x v="33"/>
  </r>
  <r>
    <s v="skincare"/>
    <x v="34"/>
    <n v="94.75"/>
    <n v="6"/>
    <n v="903"/>
    <x v="14"/>
    <n v="92"/>
    <s v="High Risk"/>
    <n v="5"/>
    <x v="3"/>
    <x v="34"/>
    <x v="0"/>
    <s v="Michigan"/>
    <n v="28"/>
    <n v="555"/>
    <x v="19"/>
    <x v="34"/>
    <s v="Pass"/>
    <x v="34"/>
    <x v="1"/>
    <x v="2"/>
    <n v="709.72009200000002"/>
    <x v="34"/>
  </r>
  <r>
    <s v="haircare"/>
    <x v="35"/>
    <n v="85.72"/>
    <n v="8"/>
    <n v="732"/>
    <x v="22"/>
    <n v="79"/>
    <s v="High Risk"/>
    <n v="7"/>
    <x v="1"/>
    <x v="35"/>
    <x v="2"/>
    <s v="New York"/>
    <n v="10"/>
    <n v="999"/>
    <x v="22"/>
    <x v="35"/>
    <s v="Pass"/>
    <x v="35"/>
    <x v="2"/>
    <x v="0"/>
    <n v="782.56777669999997"/>
    <x v="35"/>
  </r>
  <r>
    <s v="haircare"/>
    <x v="36"/>
    <n v="28.5"/>
    <n v="47"/>
    <n v="630"/>
    <x v="20"/>
    <n v="1"/>
    <s v="Low Risk"/>
    <n v="8"/>
    <x v="1"/>
    <x v="36"/>
    <x v="0"/>
    <s v="Arizona"/>
    <n v="9"/>
    <n v="574"/>
    <x v="23"/>
    <x v="36"/>
    <s v="Pass"/>
    <x v="36"/>
    <x v="0"/>
    <x v="1"/>
    <n v="302.41537349999999"/>
    <x v="36"/>
  </r>
  <r>
    <s v="skincare"/>
    <x v="37"/>
    <n v="47.8"/>
    <n v="71"/>
    <n v="308"/>
    <x v="23"/>
    <n v="55"/>
    <s v="Low Risk"/>
    <n v="9"/>
    <x v="3"/>
    <x v="37"/>
    <x v="4"/>
    <s v="Arizona"/>
    <n v="11"/>
    <n v="199"/>
    <x v="24"/>
    <x v="37"/>
    <s v="Pass"/>
    <x v="37"/>
    <x v="1"/>
    <x v="0"/>
    <n v="168.94968779999999"/>
    <x v="37"/>
  </r>
  <r>
    <s v="haircare"/>
    <x v="38"/>
    <n v="17.27"/>
    <n v="58"/>
    <n v="694"/>
    <x v="12"/>
    <n v="3"/>
    <s v="Low Risk"/>
    <n v="3"/>
    <x v="3"/>
    <x v="38"/>
    <x v="3"/>
    <s v="Alaska"/>
    <n v="16"/>
    <n v="360"/>
    <x v="7"/>
    <x v="38"/>
    <s v="Pass"/>
    <x v="38"/>
    <x v="1"/>
    <x v="2"/>
    <n v="829.46483790000002"/>
    <x v="38"/>
  </r>
  <r>
    <s v="haircare"/>
    <x v="39"/>
    <n v="95.63"/>
    <n v="86"/>
    <n v="287"/>
    <x v="24"/>
    <n v="78"/>
    <s v="Low Risk"/>
    <n v="3"/>
    <x v="1"/>
    <x v="39"/>
    <x v="3"/>
    <s v="Washington"/>
    <n v="10"/>
    <n v="404"/>
    <x v="5"/>
    <x v="39"/>
    <s v="Pending"/>
    <x v="39"/>
    <x v="0"/>
    <x v="0"/>
    <n v="978.85177629999998"/>
    <x v="39"/>
  </r>
  <r>
    <s v="skincare"/>
    <x v="40"/>
    <n v="62.59"/>
    <n v="92"/>
    <n v="306"/>
    <x v="21"/>
    <n v="38"/>
    <s v="Low Risk"/>
    <n v="4"/>
    <x v="3"/>
    <x v="40"/>
    <x v="0"/>
    <s v="Alaska"/>
    <n v="17"/>
    <n v="453"/>
    <x v="11"/>
    <x v="40"/>
    <s v="Fail"/>
    <x v="40"/>
    <x v="0"/>
    <x v="1"/>
    <n v="680.20505749999995"/>
    <x v="40"/>
  </r>
  <r>
    <s v="haircare"/>
    <x v="41"/>
    <n v="26.72"/>
    <n v="81"/>
    <n v="811"/>
    <x v="24"/>
    <n v="1"/>
    <s v="Low Risk"/>
    <n v="5"/>
    <x v="1"/>
    <x v="41"/>
    <x v="4"/>
    <s v="Alaska"/>
    <n v="19"/>
    <n v="385"/>
    <x v="6"/>
    <x v="41"/>
    <s v="Pending"/>
    <x v="41"/>
    <x v="0"/>
    <x v="1"/>
    <n v="350.08021009999999"/>
    <x v="41"/>
  </r>
  <r>
    <s v="skincare"/>
    <x v="42"/>
    <n v="53.83"/>
    <n v="12"/>
    <n v="953"/>
    <x v="10"/>
    <n v="88"/>
    <s v="High Risk"/>
    <n v="8"/>
    <x v="0"/>
    <x v="42"/>
    <x v="3"/>
    <s v="Michigan"/>
    <n v="27"/>
    <n v="296"/>
    <x v="19"/>
    <x v="42"/>
    <s v="Pass"/>
    <x v="42"/>
    <x v="1"/>
    <x v="1"/>
    <n v="789.04433640000002"/>
    <x v="42"/>
  </r>
  <r>
    <s v="haircare"/>
    <x v="43"/>
    <n v="52.35"/>
    <n v="56"/>
    <n v="228"/>
    <x v="7"/>
    <n v="65"/>
    <s v="High Risk"/>
    <n v="3"/>
    <x v="0"/>
    <x v="43"/>
    <x v="0"/>
    <s v="Washington"/>
    <n v="12"/>
    <n v="811"/>
    <x v="6"/>
    <x v="43"/>
    <s v="Fail"/>
    <x v="43"/>
    <x v="2"/>
    <x v="0"/>
    <n v="142.3351481"/>
    <x v="43"/>
  </r>
  <r>
    <s v="skincare"/>
    <x v="44"/>
    <n v="68.81"/>
    <n v="94"/>
    <n v="593"/>
    <x v="0"/>
    <n v="38"/>
    <s v="Low Risk"/>
    <n v="1"/>
    <x v="0"/>
    <x v="44"/>
    <x v="3"/>
    <s v="Michigan"/>
    <n v="2"/>
    <n v="427"/>
    <x v="17"/>
    <x v="44"/>
    <s v="nan"/>
    <x v="44"/>
    <x v="2"/>
    <x v="2"/>
    <n v="997.00534770000002"/>
    <x v="44"/>
  </r>
  <r>
    <s v="haircare"/>
    <x v="45"/>
    <n v="63.72"/>
    <n v="93"/>
    <n v="965"/>
    <x v="6"/>
    <n v="85"/>
    <s v="Low Risk"/>
    <n v="7"/>
    <x v="1"/>
    <x v="45"/>
    <x v="1"/>
    <s v="Arizona"/>
    <n v="24"/>
    <n v="202"/>
    <x v="25"/>
    <x v="45"/>
    <s v="Pending"/>
    <x v="45"/>
    <x v="0"/>
    <x v="0"/>
    <n v="903.93997260000003"/>
    <x v="45"/>
  </r>
  <r>
    <s v="skincare"/>
    <x v="46"/>
    <n v="39.03"/>
    <n v="38"/>
    <n v="913"/>
    <x v="16"/>
    <n v="29"/>
    <s v="Low Risk"/>
    <n v="9"/>
    <x v="1"/>
    <x v="46"/>
    <x v="0"/>
    <s v="Arizona"/>
    <n v="23"/>
    <n v="162"/>
    <x v="23"/>
    <x v="46"/>
    <s v="Pass"/>
    <x v="46"/>
    <x v="0"/>
    <x v="2"/>
    <n v="562.04258170000003"/>
    <x v="46"/>
  </r>
  <r>
    <s v="haircare"/>
    <x v="47"/>
    <n v="15.79"/>
    <n v="98"/>
    <n v="722"/>
    <x v="6"/>
    <n v="5"/>
    <s v="Low Risk"/>
    <n v="8"/>
    <x v="3"/>
    <x v="47"/>
    <x v="1"/>
    <s v="Arizona"/>
    <n v="2"/>
    <n v="786"/>
    <x v="26"/>
    <x v="47"/>
    <s v="Pass"/>
    <x v="47"/>
    <x v="0"/>
    <x v="1"/>
    <n v="842.78915640000002"/>
    <x v="47"/>
  </r>
  <r>
    <s v="skincare"/>
    <x v="48"/>
    <n v="54.43"/>
    <n v="58"/>
    <n v="548"/>
    <x v="25"/>
    <n v="92"/>
    <s v="High Risk"/>
    <n v="4"/>
    <x v="2"/>
    <x v="48"/>
    <x v="4"/>
    <s v="Texas"/>
    <n v="19"/>
    <n v="540"/>
    <x v="21"/>
    <x v="48"/>
    <s v="Fail"/>
    <x v="48"/>
    <x v="1"/>
    <x v="0"/>
    <n v="941.31907269999999"/>
    <x v="48"/>
  </r>
  <r>
    <s v="haircare"/>
    <x v="49"/>
    <n v="78.37"/>
    <n v="16"/>
    <n v="351"/>
    <x v="26"/>
    <n v="21"/>
    <s v="High Risk"/>
    <n v="7"/>
    <x v="3"/>
    <x v="49"/>
    <x v="1"/>
    <s v="Alaska"/>
    <n v="8"/>
    <n v="392"/>
    <x v="7"/>
    <x v="49"/>
    <s v="Pending"/>
    <x v="49"/>
    <x v="1"/>
    <x v="0"/>
    <n v="856.83145939999997"/>
    <x v="49"/>
  </r>
  <r>
    <s v="skincare"/>
    <x v="50"/>
    <n v="54.42"/>
    <n v="13"/>
    <n v="311"/>
    <x v="12"/>
    <n v="71"/>
    <s v="High Risk"/>
    <n v="5"/>
    <x v="1"/>
    <x v="50"/>
    <x v="4"/>
    <s v="Washington"/>
    <n v="26"/>
    <n v="837"/>
    <x v="27"/>
    <x v="50"/>
    <s v="Pending"/>
    <x v="50"/>
    <x v="0"/>
    <x v="1"/>
    <n v="679.31131240000002"/>
    <x v="50"/>
  </r>
  <r>
    <s v="skincare"/>
    <x v="51"/>
    <n v="85.96"/>
    <n v="30"/>
    <n v="872"/>
    <x v="6"/>
    <n v="67"/>
    <s v="High Risk"/>
    <n v="7"/>
    <x v="0"/>
    <x v="51"/>
    <x v="0"/>
    <s v="Texas"/>
    <n v="29"/>
    <n v="106"/>
    <x v="2"/>
    <x v="51"/>
    <s v="Pending"/>
    <x v="51"/>
    <x v="1"/>
    <x v="1"/>
    <n v="648.37334710000005"/>
    <x v="51"/>
  </r>
  <r>
    <s v="skincare"/>
    <x v="52"/>
    <n v="57.43"/>
    <n v="23"/>
    <n v="58"/>
    <x v="18"/>
    <n v="47"/>
    <s v="High Risk"/>
    <n v="1"/>
    <x v="1"/>
    <x v="52"/>
    <x v="3"/>
    <s v="Washington"/>
    <n v="3"/>
    <n v="738"/>
    <x v="19"/>
    <x v="52"/>
    <s v="Pending"/>
    <x v="52"/>
    <x v="1"/>
    <x v="1"/>
    <n v="520.62155949999999"/>
    <x v="52"/>
  </r>
  <r>
    <s v="skincare"/>
    <x v="53"/>
    <n v="58.29"/>
    <n v="98"/>
    <n v="642"/>
    <x v="15"/>
    <n v="84"/>
    <s v="Low Risk"/>
    <n v="1"/>
    <x v="0"/>
    <x v="53"/>
    <x v="4"/>
    <s v="Michigan"/>
    <n v="26"/>
    <n v="191"/>
    <x v="24"/>
    <x v="53"/>
    <s v="Fail"/>
    <x v="53"/>
    <x v="1"/>
    <x v="1"/>
    <n v="663.83707600000002"/>
    <x v="53"/>
  </r>
  <r>
    <s v="skincare"/>
    <x v="54"/>
    <n v="88.28"/>
    <n v="59"/>
    <n v="923"/>
    <x v="3"/>
    <n v="83"/>
    <s v="High Risk"/>
    <n v="3"/>
    <x v="3"/>
    <x v="54"/>
    <x v="2"/>
    <s v="Alaska"/>
    <n v="14"/>
    <n v="289"/>
    <x v="19"/>
    <x v="54"/>
    <s v="Fail"/>
    <x v="54"/>
    <x v="2"/>
    <x v="0"/>
    <n v="815.69492790000004"/>
    <x v="54"/>
  </r>
  <r>
    <s v="skincare"/>
    <x v="55"/>
    <n v="43.33"/>
    <n v="44"/>
    <n v="713"/>
    <x v="3"/>
    <n v="35"/>
    <s v="Low Risk"/>
    <n v="2"/>
    <x v="3"/>
    <x v="55"/>
    <x v="3"/>
    <s v="Texas"/>
    <n v="25"/>
    <n v="970"/>
    <x v="28"/>
    <x v="55"/>
    <s v="Pending"/>
    <x v="55"/>
    <x v="2"/>
    <x v="2"/>
    <n v="972.13386370000001"/>
    <x v="55"/>
  </r>
  <r>
    <s v="haircare"/>
    <x v="56"/>
    <n v="17.73"/>
    <n v="97"/>
    <n v="754"/>
    <x v="26"/>
    <n v="68"/>
    <s v="Low Risk"/>
    <n v="2"/>
    <x v="1"/>
    <x v="56"/>
    <x v="2"/>
    <s v="Texas"/>
    <n v="16"/>
    <n v="575"/>
    <x v="25"/>
    <x v="56"/>
    <s v="Fail"/>
    <x v="56"/>
    <x v="1"/>
    <x v="0"/>
    <n v="520.55862239999999"/>
    <x v="56"/>
  </r>
  <r>
    <s v="haircare"/>
    <x v="57"/>
    <n v="7.73"/>
    <n v="2"/>
    <n v="34"/>
    <x v="21"/>
    <n v="69"/>
    <s v="High Risk"/>
    <n v="7"/>
    <x v="3"/>
    <x v="57"/>
    <x v="2"/>
    <s v="Alaska"/>
    <n v="1"/>
    <n v="610"/>
    <x v="18"/>
    <x v="57"/>
    <s v="Pass"/>
    <x v="57"/>
    <x v="0"/>
    <x v="0"/>
    <n v="616.28788269999995"/>
    <x v="57"/>
  </r>
  <r>
    <s v="haircare"/>
    <x v="58"/>
    <n v="76.739999999999995"/>
    <n v="36"/>
    <n v="444"/>
    <x v="16"/>
    <n v="1"/>
    <s v="Low Risk"/>
    <n v="2"/>
    <x v="0"/>
    <x v="58"/>
    <x v="5"/>
    <s v="Arizona"/>
    <n v="21"/>
    <n v="561"/>
    <x v="1"/>
    <x v="58"/>
    <s v="Fail"/>
    <x v="58"/>
    <x v="2"/>
    <x v="0"/>
    <n v="500.32494559999998"/>
    <x v="58"/>
  </r>
  <r>
    <s v="haircare"/>
    <x v="59"/>
    <n v="63.93"/>
    <n v="42"/>
    <n v="92"/>
    <x v="22"/>
    <n v="68"/>
    <s v="High Risk"/>
    <n v="4"/>
    <x v="0"/>
    <x v="59"/>
    <x v="3"/>
    <s v="Alaska"/>
    <n v="3"/>
    <n v="152"/>
    <x v="10"/>
    <x v="59"/>
    <s v="Fail"/>
    <x v="59"/>
    <x v="1"/>
    <x v="0"/>
    <n v="701.63975889999995"/>
    <x v="59"/>
  </r>
  <r>
    <s v="haircare"/>
    <x v="60"/>
    <n v="71.89"/>
    <n v="39"/>
    <n v="949"/>
    <x v="11"/>
    <n v="12"/>
    <s v="Low Risk"/>
    <n v="2"/>
    <x v="1"/>
    <x v="60"/>
    <x v="0"/>
    <s v="Michigan"/>
    <n v="22"/>
    <n v="853"/>
    <x v="13"/>
    <x v="60"/>
    <s v="Pending"/>
    <x v="60"/>
    <x v="1"/>
    <x v="1"/>
    <n v="666.92845369999998"/>
    <x v="60"/>
  </r>
  <r>
    <s v="haircare"/>
    <x v="61"/>
    <n v="25.23"/>
    <n v="89"/>
    <n v="958"/>
    <x v="2"/>
    <n v="60"/>
    <s v="Low Risk"/>
    <n v="6"/>
    <x v="1"/>
    <x v="61"/>
    <x v="1"/>
    <s v="Texas"/>
    <n v="26"/>
    <n v="585"/>
    <x v="5"/>
    <x v="61"/>
    <s v="Pending"/>
    <x v="61"/>
    <x v="1"/>
    <x v="0"/>
    <n v="116.0504112"/>
    <x v="61"/>
  </r>
  <r>
    <s v="skincare"/>
    <x v="62"/>
    <n v="17.96"/>
    <n v="54"/>
    <n v="206"/>
    <x v="25"/>
    <n v="27"/>
    <s v="Low Risk"/>
    <n v="8"/>
    <x v="0"/>
    <x v="62"/>
    <x v="4"/>
    <s v="Texas"/>
    <n v="18"/>
    <n v="743"/>
    <x v="5"/>
    <x v="62"/>
    <s v="Fail"/>
    <x v="62"/>
    <x v="1"/>
    <x v="0"/>
    <n v="587.04540320000001"/>
    <x v="62"/>
  </r>
  <r>
    <s v="haircare"/>
    <x v="63"/>
    <n v="6.38"/>
    <n v="86"/>
    <n v="352"/>
    <x v="10"/>
    <n v="56"/>
    <s v="Low Risk"/>
    <n v="4"/>
    <x v="0"/>
    <x v="63"/>
    <x v="2"/>
    <s v="New York"/>
    <n v="9"/>
    <n v="589"/>
    <x v="29"/>
    <x v="63"/>
    <s v="Pending"/>
    <x v="63"/>
    <x v="0"/>
    <x v="1"/>
    <n v="179.63820609999999"/>
    <x v="63"/>
  </r>
  <r>
    <s v="haircare"/>
    <x v="64"/>
    <n v="38.31"/>
    <n v="38"/>
    <n v="902"/>
    <x v="8"/>
    <n v="23"/>
    <s v="Low Risk"/>
    <n v="5"/>
    <x v="1"/>
    <x v="64"/>
    <x v="0"/>
    <s v="Alaska"/>
    <n v="6"/>
    <n v="463"/>
    <x v="26"/>
    <x v="64"/>
    <s v="Pending"/>
    <x v="64"/>
    <x v="0"/>
    <x v="2"/>
    <n v="123.7452562"/>
    <x v="64"/>
  </r>
  <r>
    <s v="skincare"/>
    <x v="65"/>
    <n v="61.04"/>
    <n v="14"/>
    <n v="331"/>
    <x v="5"/>
    <n v="25"/>
    <s v="High Risk"/>
    <n v="4"/>
    <x v="3"/>
    <x v="65"/>
    <x v="0"/>
    <s v="Texas"/>
    <n v="23"/>
    <n v="211"/>
    <x v="20"/>
    <x v="65"/>
    <s v="Fail"/>
    <x v="65"/>
    <x v="2"/>
    <x v="0"/>
    <n v="812.07744590000004"/>
    <x v="65"/>
  </r>
  <r>
    <s v="haircare"/>
    <x v="66"/>
    <n v="90.9"/>
    <n v="85"/>
    <n v="724"/>
    <x v="2"/>
    <n v="63"/>
    <s v="Low Risk"/>
    <n v="9"/>
    <x v="1"/>
    <x v="66"/>
    <x v="5"/>
    <s v="Washington"/>
    <n v="1"/>
    <n v="841"/>
    <x v="21"/>
    <x v="66"/>
    <s v="Pending"/>
    <x v="66"/>
    <x v="0"/>
    <x v="0"/>
    <n v="157.67612879999999"/>
    <x v="66"/>
  </r>
  <r>
    <s v="NaN"/>
    <x v="67"/>
    <n v="38.08"/>
    <n v="24"/>
    <n v="158"/>
    <x v="8"/>
    <n v="52"/>
    <s v="High Risk"/>
    <n v="8"/>
    <x v="1"/>
    <x v="67"/>
    <x v="4"/>
    <s v="Texas"/>
    <n v="21"/>
    <n v="767"/>
    <x v="6"/>
    <x v="67"/>
    <s v="Pass"/>
    <x v="67"/>
    <x v="2"/>
    <x v="2"/>
    <n v="261.55023440000002"/>
    <x v="67"/>
  </r>
  <r>
    <s v="haircare"/>
    <x v="68"/>
    <n v="79.45"/>
    <n v="81"/>
    <n v="956"/>
    <x v="0"/>
    <n v="25"/>
    <s v="Low Risk"/>
    <n v="8"/>
    <x v="1"/>
    <x v="68"/>
    <x v="0"/>
    <s v="Alaska"/>
    <n v="10"/>
    <n v="934"/>
    <x v="25"/>
    <x v="68"/>
    <s v="Pending"/>
    <x v="68"/>
    <x v="1"/>
    <x v="1"/>
    <n v="544.1777472"/>
    <x v="68"/>
  </r>
  <r>
    <s v="haircare"/>
    <x v="69"/>
    <n v="42.67"/>
    <n v="32"/>
    <n v="23"/>
    <x v="12"/>
    <n v="55"/>
    <s v="High Risk"/>
    <n v="8"/>
    <x v="3"/>
    <x v="69"/>
    <x v="2"/>
    <s v="Michigan"/>
    <n v="27"/>
    <n v="975"/>
    <x v="16"/>
    <x v="69"/>
    <s v="Fail"/>
    <x v="69"/>
    <x v="1"/>
    <x v="0"/>
    <n v="892.60161630000005"/>
    <x v="69"/>
  </r>
  <r>
    <s v="skincare"/>
    <x v="70"/>
    <n v="64.099999999999994"/>
    <n v="15"/>
    <n v="403"/>
    <x v="23"/>
    <n v="46"/>
    <s v="High Risk"/>
    <n v="7"/>
    <x v="3"/>
    <x v="70"/>
    <x v="1"/>
    <s v="Alaska"/>
    <n v="6"/>
    <n v="834"/>
    <x v="24"/>
    <x v="70"/>
    <s v="Fail"/>
    <x v="70"/>
    <x v="1"/>
    <x v="1"/>
    <n v="457.51791830000002"/>
    <x v="70"/>
  </r>
  <r>
    <s v="skincare"/>
    <x v="71"/>
    <n v="86.92"/>
    <n v="41"/>
    <n v="804"/>
    <x v="20"/>
    <n v="32"/>
    <s v="Low Risk"/>
    <n v="8"/>
    <x v="3"/>
    <x v="71"/>
    <x v="2"/>
    <s v="Michigan"/>
    <n v="23"/>
    <n v="466"/>
    <x v="10"/>
    <x v="71"/>
    <s v="Pass"/>
    <x v="71"/>
    <x v="2"/>
    <x v="2"/>
    <n v="341.83066220000001"/>
    <x v="71"/>
  </r>
  <r>
    <s v="skincare"/>
    <x v="72"/>
    <n v="95.2"/>
    <n v="65"/>
    <n v="515"/>
    <x v="9"/>
    <n v="55"/>
    <s v="Low Risk"/>
    <n v="8"/>
    <x v="3"/>
    <x v="72"/>
    <x v="3"/>
    <s v="Arizona"/>
    <n v="12"/>
    <n v="349"/>
    <x v="4"/>
    <x v="72"/>
    <s v="Fail"/>
    <x v="72"/>
    <x v="1"/>
    <x v="0"/>
    <n v="412.839833"/>
    <x v="72"/>
  </r>
  <r>
    <s v="skincare"/>
    <x v="73"/>
    <n v="18.97"/>
    <n v="54"/>
    <n v="731"/>
    <x v="27"/>
    <n v="96"/>
    <s v="High Risk"/>
    <n v="8"/>
    <x v="3"/>
    <x v="73"/>
    <x v="1"/>
    <s v="Michigan"/>
    <n v="4"/>
    <n v="694"/>
    <x v="19"/>
    <x v="73"/>
    <s v="Pending"/>
    <x v="73"/>
    <x v="2"/>
    <x v="1"/>
    <n v="741.4946142"/>
    <x v="73"/>
  </r>
  <r>
    <s v="haircare"/>
    <x v="74"/>
    <n v="93.03"/>
    <n v="98"/>
    <n v="363"/>
    <x v="24"/>
    <n v="5"/>
    <s v="Low Risk"/>
    <n v="7"/>
    <x v="1"/>
    <x v="74"/>
    <x v="0"/>
    <s v="Texas"/>
    <n v="28"/>
    <n v="339"/>
    <x v="18"/>
    <x v="74"/>
    <s v="Pass"/>
    <x v="74"/>
    <x v="1"/>
    <x v="1"/>
    <n v="599.50510510000004"/>
    <x v="74"/>
  </r>
  <r>
    <s v="haircare"/>
    <x v="75"/>
    <n v="51.75"/>
    <n v="41"/>
    <n v="381"/>
    <x v="24"/>
    <n v="36"/>
    <s v="Low Risk"/>
    <n v="1"/>
    <x v="3"/>
    <x v="75"/>
    <x v="4"/>
    <s v="Michigan"/>
    <n v="13"/>
    <n v="479"/>
    <x v="27"/>
    <x v="75"/>
    <s v="Pass"/>
    <x v="75"/>
    <x v="1"/>
    <x v="0"/>
    <n v="913.77208680000001"/>
    <x v="75"/>
  </r>
  <r>
    <s v="haircare"/>
    <x v="76"/>
    <n v="29.53"/>
    <n v="33"/>
    <n v="531"/>
    <x v="12"/>
    <n v="49"/>
    <s v="High Risk"/>
    <n v="4"/>
    <x v="0"/>
    <x v="76"/>
    <x v="4"/>
    <s v="Washington"/>
    <n v="17"/>
    <n v="971"/>
    <x v="2"/>
    <x v="76"/>
    <s v="Pending"/>
    <x v="76"/>
    <x v="1"/>
    <x v="1"/>
    <n v="641.95189249999999"/>
    <x v="76"/>
  </r>
  <r>
    <s v="skincare"/>
    <x v="77"/>
    <n v="48.62"/>
    <n v="29"/>
    <n v="955"/>
    <x v="6"/>
    <n v="58"/>
    <s v="High Risk"/>
    <n v="4"/>
    <x v="0"/>
    <x v="77"/>
    <x v="1"/>
    <s v="Alaska"/>
    <n v="27"/>
    <n v="934"/>
    <x v="20"/>
    <x v="77"/>
    <s v="nan"/>
    <x v="77"/>
    <x v="2"/>
    <x v="1"/>
    <n v="543.71638759999996"/>
    <x v="77"/>
  </r>
  <r>
    <s v="skincare"/>
    <x v="78"/>
    <n v="98.1"/>
    <n v="12"/>
    <n v="151"/>
    <x v="1"/>
    <n v="39"/>
    <s v="High Risk"/>
    <n v="5"/>
    <x v="1"/>
    <x v="78"/>
    <x v="3"/>
    <s v="Michigan"/>
    <n v="8"/>
    <n v="570"/>
    <x v="4"/>
    <x v="78"/>
    <s v="Fail"/>
    <x v="78"/>
    <x v="0"/>
    <x v="2"/>
    <n v="807.17745149999996"/>
    <x v="78"/>
  </r>
  <r>
    <s v="haircare"/>
    <x v="79"/>
    <n v="51.8"/>
    <n v="12"/>
    <n v="561"/>
    <x v="7"/>
    <n v="80"/>
    <s v="High Risk"/>
    <n v="6"/>
    <x v="1"/>
    <x v="79"/>
    <x v="1"/>
    <s v="Alaska"/>
    <n v="26"/>
    <n v="874"/>
    <x v="19"/>
    <x v="79"/>
    <s v="Pass"/>
    <x v="79"/>
    <x v="0"/>
    <x v="1"/>
    <n v="952.78046570000004"/>
    <x v="79"/>
  </r>
  <r>
    <s v="haircare"/>
    <x v="80"/>
    <n v="36.229999999999997"/>
    <n v="17"/>
    <n v="688"/>
    <x v="2"/>
    <n v="97"/>
    <s v="High Risk"/>
    <n v="4"/>
    <x v="1"/>
    <x v="80"/>
    <x v="2"/>
    <s v="Washington"/>
    <n v="20"/>
    <n v="800"/>
    <x v="3"/>
    <x v="80"/>
    <s v="Pass"/>
    <x v="80"/>
    <x v="0"/>
    <x v="0"/>
    <n v="420.26132009999998"/>
    <x v="80"/>
  </r>
  <r>
    <s v="haircare"/>
    <x v="81"/>
    <n v="65.17"/>
    <n v="31"/>
    <n v="946"/>
    <x v="4"/>
    <n v="85"/>
    <s v="High Risk"/>
    <n v="2"/>
    <x v="3"/>
    <x v="81"/>
    <x v="1"/>
    <s v="Michigan"/>
    <n v="3"/>
    <n v="554"/>
    <x v="26"/>
    <x v="81"/>
    <s v="Pending"/>
    <x v="81"/>
    <x v="0"/>
    <x v="1"/>
    <n v="324.88858909999999"/>
    <x v="81"/>
  </r>
  <r>
    <s v="haircare"/>
    <x v="82"/>
    <n v="27.81"/>
    <n v="95"/>
    <n v="607"/>
    <x v="6"/>
    <n v="61"/>
    <s v="Low Risk"/>
    <n v="6"/>
    <x v="3"/>
    <x v="82"/>
    <x v="1"/>
    <s v="Alaska"/>
    <n v="12"/>
    <n v="465"/>
    <x v="18"/>
    <x v="82"/>
    <s v="Pass"/>
    <x v="82"/>
    <x v="0"/>
    <x v="0"/>
    <n v="654.59565669999995"/>
    <x v="82"/>
  </r>
  <r>
    <s v="skincare"/>
    <x v="83"/>
    <n v="12.21"/>
    <n v="98"/>
    <n v="616"/>
    <x v="24"/>
    <n v="9"/>
    <s v="Low Risk"/>
    <n v="8"/>
    <x v="0"/>
    <x v="83"/>
    <x v="2"/>
    <s v="Alaska"/>
    <n v="7"/>
    <n v="389"/>
    <x v="4"/>
    <x v="83"/>
    <s v="Fail"/>
    <x v="83"/>
    <x v="2"/>
    <x v="1"/>
    <n v="548.98553900000002"/>
    <x v="83"/>
  </r>
  <r>
    <s v="skincare"/>
    <x v="84"/>
    <n v="17.239999999999998"/>
    <n v="38"/>
    <n v="419"/>
    <x v="1"/>
    <n v="6"/>
    <s v="Low Risk"/>
    <n v="8"/>
    <x v="1"/>
    <x v="84"/>
    <x v="4"/>
    <s v="Michigan"/>
    <n v="12"/>
    <n v="973"/>
    <x v="19"/>
    <x v="84"/>
    <s v="Fail"/>
    <x v="84"/>
    <x v="2"/>
    <x v="2"/>
    <n v="990.26701739999999"/>
    <x v="84"/>
  </r>
  <r>
    <s v="skincare"/>
    <x v="85"/>
    <n v="17.16"/>
    <n v="45"/>
    <n v="249"/>
    <x v="7"/>
    <n v="35"/>
    <s v="Low Risk"/>
    <n v="7"/>
    <x v="1"/>
    <x v="85"/>
    <x v="2"/>
    <s v="Washington"/>
    <n v="2"/>
    <n v="502"/>
    <x v="5"/>
    <x v="85"/>
    <s v="Pass"/>
    <x v="85"/>
    <x v="1"/>
    <x v="2"/>
    <n v="516.12560570000005"/>
    <x v="85"/>
  </r>
  <r>
    <s v="haircare"/>
    <x v="86"/>
    <n v="19.43"/>
    <n v="28"/>
    <n v="116"/>
    <x v="10"/>
    <n v="39"/>
    <s v="High Risk"/>
    <n v="6"/>
    <x v="3"/>
    <x v="86"/>
    <x v="0"/>
    <s v="Arizona"/>
    <n v="24"/>
    <n v="157"/>
    <x v="18"/>
    <x v="86"/>
    <s v="Pending"/>
    <x v="86"/>
    <x v="0"/>
    <x v="1"/>
    <n v="166.89839620000001"/>
    <x v="86"/>
  </r>
  <r>
    <s v="skincare"/>
    <x v="87"/>
    <n v="65.88"/>
    <n v="92"/>
    <n v="511"/>
    <x v="8"/>
    <n v="41"/>
    <s v="Low Risk"/>
    <n v="7"/>
    <x v="1"/>
    <x v="87"/>
    <x v="0"/>
    <s v="Texas"/>
    <n v="22"/>
    <n v="403"/>
    <x v="4"/>
    <x v="87"/>
    <s v="Pending"/>
    <x v="87"/>
    <x v="1"/>
    <x v="0"/>
    <n v="859.228251"/>
    <x v="87"/>
  </r>
  <r>
    <s v="skincare"/>
    <x v="88"/>
    <n v="22.28"/>
    <n v="61"/>
    <n v="739"/>
    <x v="3"/>
    <n v="5"/>
    <s v="Low Risk"/>
    <n v="5"/>
    <x v="3"/>
    <x v="88"/>
    <x v="3"/>
    <s v="Washington"/>
    <n v="23"/>
    <n v="214"/>
    <x v="27"/>
    <x v="88"/>
    <s v="Pass"/>
    <x v="88"/>
    <x v="2"/>
    <x v="0"/>
    <n v="260.42512959999999"/>
    <x v="88"/>
  </r>
  <r>
    <s v="skincare"/>
    <x v="89"/>
    <n v="37.840000000000003"/>
    <n v="56"/>
    <n v="577"/>
    <x v="1"/>
    <n v="42"/>
    <s v="Low Risk"/>
    <n v="6"/>
    <x v="1"/>
    <x v="89"/>
    <x v="3"/>
    <s v="Texas"/>
    <n v="30"/>
    <n v="309"/>
    <x v="16"/>
    <x v="89"/>
    <s v="Pass"/>
    <x v="89"/>
    <x v="1"/>
    <x v="2"/>
    <n v="914.14472780000006"/>
    <x v="89"/>
  </r>
  <r>
    <s v="skincare"/>
    <x v="90"/>
    <n v="90.19"/>
    <n v="15"/>
    <n v="334"/>
    <x v="14"/>
    <n v="87"/>
    <s v="High Risk"/>
    <n v="8"/>
    <x v="0"/>
    <x v="90"/>
    <x v="2"/>
    <s v="Arizona"/>
    <n v="5"/>
    <n v="140"/>
    <x v="19"/>
    <x v="90"/>
    <s v="Fail"/>
    <x v="90"/>
    <x v="0"/>
    <x v="0"/>
    <n v="406.6001387"/>
    <x v="90"/>
  </r>
  <r>
    <s v="skincare"/>
    <x v="91"/>
    <n v="50.03"/>
    <n v="55"/>
    <n v="417"/>
    <x v="25"/>
    <n v="81"/>
    <s v="High Risk"/>
    <n v="8"/>
    <x v="0"/>
    <x v="91"/>
    <x v="3"/>
    <s v="Texas"/>
    <n v="9"/>
    <n v="915"/>
    <x v="20"/>
    <x v="91"/>
    <s v="Fail"/>
    <x v="91"/>
    <x v="0"/>
    <x v="1"/>
    <n v="439.4007861"/>
    <x v="91"/>
  </r>
  <r>
    <s v="skincare"/>
    <x v="92"/>
    <n v="68.42"/>
    <n v="9"/>
    <n v="931"/>
    <x v="21"/>
    <n v="76"/>
    <s v="High Risk"/>
    <n v="3"/>
    <x v="1"/>
    <x v="92"/>
    <x v="4"/>
    <s v="Washington"/>
    <n v="21"/>
    <n v="272"/>
    <x v="6"/>
    <x v="92"/>
    <s v="Pass"/>
    <x v="92"/>
    <x v="2"/>
    <x v="2"/>
    <n v="915.75233409999998"/>
    <x v="92"/>
  </r>
  <r>
    <s v="haircare"/>
    <x v="93"/>
    <n v="21.37"/>
    <n v="29"/>
    <n v="773"/>
    <x v="25"/>
    <n v="87"/>
    <s v="High Risk"/>
    <n v="7"/>
    <x v="1"/>
    <x v="93"/>
    <x v="1"/>
    <s v="Texas"/>
    <n v="11"/>
    <n v="333"/>
    <x v="7"/>
    <x v="93"/>
    <s v="Pass"/>
    <x v="93"/>
    <x v="0"/>
    <x v="1"/>
    <n v="577.10400849999996"/>
    <x v="93"/>
  </r>
  <r>
    <s v="haircare"/>
    <x v="94"/>
    <n v="23.27"/>
    <n v="24"/>
    <n v="294"/>
    <x v="21"/>
    <n v="80"/>
    <s v="High Risk"/>
    <n v="1"/>
    <x v="3"/>
    <x v="94"/>
    <x v="0"/>
    <s v="Arizona"/>
    <n v="5"/>
    <n v="892"/>
    <x v="11"/>
    <x v="94"/>
    <s v="Pass"/>
    <x v="94"/>
    <x v="2"/>
    <x v="2"/>
    <n v="223.9866365"/>
    <x v="94"/>
  </r>
  <r>
    <s v="haircare"/>
    <x v="95"/>
    <n v="8.8800000000000008"/>
    <n v="83"/>
    <n v="937"/>
    <x v="15"/>
    <n v="67"/>
    <s v="Low Risk"/>
    <n v="1"/>
    <x v="1"/>
    <x v="95"/>
    <x v="4"/>
    <s v="Michigan"/>
    <n v="3"/>
    <n v="983"/>
    <x v="10"/>
    <x v="95"/>
    <s v="nan"/>
    <x v="95"/>
    <x v="2"/>
    <x v="2"/>
    <n v="432.1505434"/>
    <x v="95"/>
  </r>
  <r>
    <s v="haircare"/>
    <x v="96"/>
    <n v="21.05"/>
    <n v="4"/>
    <n v="754"/>
    <x v="19"/>
    <n v="30"/>
    <s v="High Risk"/>
    <n v="7"/>
    <x v="0"/>
    <x v="96"/>
    <x v="1"/>
    <s v="Texas"/>
    <n v="27"/>
    <n v="689"/>
    <x v="29"/>
    <x v="96"/>
    <s v="Pending"/>
    <x v="96"/>
    <x v="0"/>
    <x v="1"/>
    <n v="749.88770160000001"/>
    <x v="96"/>
  </r>
  <r>
    <s v="skincare"/>
    <x v="97"/>
    <n v="31.47"/>
    <n v="64"/>
    <n v="370"/>
    <x v="1"/>
    <n v="57"/>
    <s v="Low Risk"/>
    <n v="9"/>
    <x v="0"/>
    <x v="97"/>
    <x v="0"/>
    <s v="Michigan"/>
    <n v="17"/>
    <n v="719"/>
    <x v="12"/>
    <x v="97"/>
    <s v="Pending"/>
    <x v="97"/>
    <x v="0"/>
    <x v="1"/>
    <n v="256.76576929999999"/>
    <x v="97"/>
  </r>
  <r>
    <s v="haircare"/>
    <x v="98"/>
    <n v="21.82"/>
    <n v="93"/>
    <n v="185"/>
    <x v="7"/>
    <n v="86"/>
    <s v="Low Risk"/>
    <n v="7"/>
    <x v="0"/>
    <x v="98"/>
    <x v="1"/>
    <s v="Michigan"/>
    <n v="2"/>
    <n v="892"/>
    <x v="19"/>
    <x v="98"/>
    <s v="Pass"/>
    <x v="98"/>
    <x v="2"/>
    <x v="2"/>
    <n v="631.20807769999999"/>
    <x v="98"/>
  </r>
  <r>
    <s v="skincare"/>
    <x v="99"/>
    <n v="13.43"/>
    <n v="48"/>
    <n v="245"/>
    <x v="20"/>
    <n v="73"/>
    <s v="High Risk"/>
    <n v="5"/>
    <x v="0"/>
    <x v="99"/>
    <x v="4"/>
    <s v="Washington"/>
    <n v="24"/>
    <n v="502"/>
    <x v="15"/>
    <x v="99"/>
    <s v="Pending"/>
    <x v="99"/>
    <x v="2"/>
    <x v="2"/>
    <n v="725.74671969999997"/>
    <x v="99"/>
  </r>
  <r>
    <s v="skincare"/>
    <x v="100"/>
    <n v="16.46"/>
    <n v="2"/>
    <n v="636"/>
    <x v="18"/>
    <n v="29"/>
    <s v="High Risk"/>
    <n v="8"/>
    <x v="3"/>
    <x v="100"/>
    <x v="3"/>
    <s v="Texas"/>
    <n v="1"/>
    <n v="138"/>
    <x v="8"/>
    <x v="100"/>
    <s v="Pass"/>
    <x v="100"/>
    <x v="2"/>
    <x v="0"/>
    <n v="409.46821799999998"/>
    <x v="100"/>
  </r>
  <r>
    <s v="haircare"/>
    <x v="101"/>
    <n v="48.77"/>
    <n v="44"/>
    <n v="267"/>
    <x v="18"/>
    <n v="37"/>
    <s v="Low Risk"/>
    <n v="2"/>
    <x v="1"/>
    <x v="101"/>
    <x v="2"/>
    <s v="Washington"/>
    <n v="7"/>
    <n v="218"/>
    <x v="20"/>
    <x v="101"/>
    <s v="Fail"/>
    <x v="101"/>
    <x v="0"/>
    <x v="1"/>
    <n v="724.49261980000006"/>
    <x v="101"/>
  </r>
  <r>
    <s v="haircare"/>
    <x v="102"/>
    <n v="24.6"/>
    <n v="13"/>
    <n v="642"/>
    <x v="7"/>
    <n v="87"/>
    <s v="High Risk"/>
    <n v="9"/>
    <x v="0"/>
    <x v="102"/>
    <x v="0"/>
    <s v="Michigan"/>
    <n v="30"/>
    <n v="434"/>
    <x v="6"/>
    <x v="102"/>
    <s v="Pending"/>
    <x v="102"/>
    <x v="0"/>
    <x v="0"/>
    <n v="895.7866166"/>
    <x v="102"/>
  </r>
  <r>
    <s v="skincare"/>
    <x v="103"/>
    <n v="39.61"/>
    <n v="29"/>
    <n v="236"/>
    <x v="17"/>
    <n v="13"/>
    <s v="Low Risk"/>
    <n v="6"/>
    <x v="3"/>
    <x v="103"/>
    <x v="2"/>
    <s v="Alaska"/>
    <n v="14"/>
    <n v="435"/>
    <x v="4"/>
    <x v="103"/>
    <s v="Fail"/>
    <x v="103"/>
    <x v="0"/>
    <x v="1"/>
    <n v="524.90506979999998"/>
    <x v="103"/>
  </r>
  <r>
    <s v="haircare"/>
    <x v="104"/>
    <n v="52.82"/>
    <n v="67"/>
    <n v="529"/>
    <x v="24"/>
    <n v="32"/>
    <s v="Low Risk"/>
    <n v="9"/>
    <x v="0"/>
    <x v="104"/>
    <x v="3"/>
    <s v="Michigan"/>
    <n v="5"/>
    <n v="638"/>
    <x v="1"/>
    <x v="104"/>
    <s v="Fail"/>
    <x v="104"/>
    <x v="0"/>
    <x v="1"/>
    <n v="444.6183954"/>
    <x v="104"/>
  </r>
  <r>
    <s v="haircare"/>
    <x v="105"/>
    <n v="70.59"/>
    <n v="17"/>
    <n v="551"/>
    <x v="0"/>
    <n v="46"/>
    <s v="High Risk"/>
    <n v="2"/>
    <x v="1"/>
    <x v="105"/>
    <x v="4"/>
    <s v="Washington"/>
    <n v="19"/>
    <n v="715"/>
    <x v="2"/>
    <x v="105"/>
    <s v="Pass"/>
    <x v="105"/>
    <x v="1"/>
    <x v="1"/>
    <n v="326.04256120000002"/>
    <x v="105"/>
  </r>
  <r>
    <s v="haircare"/>
    <x v="106"/>
    <n v="8.73"/>
    <n v="61"/>
    <n v="20"/>
    <x v="19"/>
    <n v="23"/>
    <s v="Low Risk"/>
    <n v="3"/>
    <x v="1"/>
    <x v="106"/>
    <x v="4"/>
    <s v="Texas"/>
    <n v="28"/>
    <n v="173"/>
    <x v="18"/>
    <x v="106"/>
    <s v="Pass"/>
    <x v="106"/>
    <x v="0"/>
    <x v="1"/>
    <n v="643.78493189999995"/>
    <x v="106"/>
  </r>
  <r>
    <s v="haircare"/>
    <x v="107"/>
    <n v="80.94"/>
    <n v="36"/>
    <n v="910"/>
    <x v="28"/>
    <n v="45"/>
    <s v="High Risk"/>
    <n v="8"/>
    <x v="2"/>
    <x v="107"/>
    <x v="0"/>
    <s v="Arizona"/>
    <n v="28"/>
    <n v="290"/>
    <x v="25"/>
    <x v="107"/>
    <s v="Fail"/>
    <x v="107"/>
    <x v="1"/>
    <x v="0"/>
    <n v="891.86684319999995"/>
    <x v="107"/>
  </r>
  <r>
    <s v="skincare"/>
    <x v="108"/>
    <n v="64.650000000000006"/>
    <n v="24"/>
    <n v="736"/>
    <x v="18"/>
    <n v="17"/>
    <s v="Low Risk"/>
    <n v="1"/>
    <x v="1"/>
    <x v="108"/>
    <x v="2"/>
    <s v="Washington"/>
    <n v="11"/>
    <n v="423"/>
    <x v="15"/>
    <x v="108"/>
    <s v="Pending"/>
    <x v="108"/>
    <x v="1"/>
    <x v="3"/>
    <n v="392.19514049999998"/>
    <x v="108"/>
  </r>
  <r>
    <s v="skincare"/>
    <x v="109"/>
    <n v="12.77"/>
    <n v="47"/>
    <n v="866"/>
    <x v="25"/>
    <n v="85"/>
    <s v="High Risk"/>
    <n v="7"/>
    <x v="2"/>
    <x v="109"/>
    <x v="3"/>
    <s v="Washington"/>
    <n v="23"/>
    <n v="246"/>
    <x v="27"/>
    <x v="109"/>
    <s v="Pending"/>
    <x v="109"/>
    <x v="0"/>
    <x v="2"/>
    <n v="456.6119721"/>
    <x v="109"/>
  </r>
  <r>
    <s v="skincare"/>
    <x v="110"/>
    <n v="87.99"/>
    <n v="64"/>
    <n v="793"/>
    <x v="6"/>
    <n v="66"/>
    <s v="High Risk"/>
    <n v="7"/>
    <x v="2"/>
    <x v="110"/>
    <x v="0"/>
    <s v="Washington"/>
    <n v="25"/>
    <n v="866"/>
    <x v="28"/>
    <x v="110"/>
    <s v="Fail"/>
    <x v="110"/>
    <x v="2"/>
    <x v="1"/>
    <n v="465.96296580000001"/>
    <x v="110"/>
  </r>
  <r>
    <s v="skincare"/>
    <x v="111"/>
    <n v="92.48"/>
    <n v="52"/>
    <n v="519"/>
    <x v="19"/>
    <n v="6"/>
    <s v="Low Risk"/>
    <n v="1"/>
    <x v="0"/>
    <x v="111"/>
    <x v="1"/>
    <s v="Arizona"/>
    <n v="2"/>
    <n v="383"/>
    <x v="19"/>
    <x v="111"/>
    <s v="Fail"/>
    <x v="111"/>
    <x v="1"/>
    <x v="0"/>
    <n v="604.73110759999997"/>
    <x v="111"/>
  </r>
  <r>
    <s v="skincare"/>
    <x v="112"/>
    <n v="10.8"/>
    <n v="78"/>
    <n v="99"/>
    <x v="8"/>
    <n v="18"/>
    <s v="Low Risk"/>
    <n v="9"/>
    <x v="0"/>
    <x v="112"/>
    <x v="0"/>
    <s v="Michigan"/>
    <n v="8"/>
    <n v="312"/>
    <x v="26"/>
    <x v="112"/>
    <s v="Pass"/>
    <x v="112"/>
    <x v="1"/>
    <x v="0"/>
    <n v="305.56806540000002"/>
    <x v="112"/>
  </r>
  <r>
    <s v="haircare"/>
    <x v="113"/>
    <n v="31.3"/>
    <n v="72"/>
    <n v="751"/>
    <x v="1"/>
    <n v="94"/>
    <s v="High Risk"/>
    <n v="8"/>
    <x v="3"/>
    <x v="113"/>
    <x v="1"/>
    <s v="Michigan"/>
    <n v="9"/>
    <n v="734"/>
    <x v="19"/>
    <x v="113"/>
    <s v="Pass"/>
    <x v="113"/>
    <x v="2"/>
    <x v="1"/>
    <n v="839.99003979999998"/>
    <x v="113"/>
  </r>
  <r>
    <s v="skincare"/>
    <x v="114"/>
    <n v="81.59"/>
    <n v="14"/>
    <n v="477"/>
    <x v="22"/>
    <n v="22"/>
    <s v="High Risk"/>
    <n v="4"/>
    <x v="0"/>
    <x v="114"/>
    <x v="0"/>
    <s v="Washington"/>
    <n v="27"/>
    <n v="817"/>
    <x v="12"/>
    <x v="114"/>
    <s v="nan"/>
    <x v="114"/>
    <x v="1"/>
    <x v="2"/>
    <n v="366.04204979999997"/>
    <x v="114"/>
  </r>
  <r>
    <s v="skincare"/>
    <x v="115"/>
    <n v="22.53"/>
    <n v="87"/>
    <n v="297"/>
    <x v="6"/>
    <n v="30"/>
    <s v="Low Risk"/>
    <n v="2"/>
    <x v="3"/>
    <x v="115"/>
    <x v="2"/>
    <s v="Arizona"/>
    <n v="2"/>
    <n v="493"/>
    <x v="18"/>
    <x v="115"/>
    <s v="Pending"/>
    <x v="115"/>
    <x v="2"/>
    <x v="3"/>
    <n v="561.89416759999995"/>
    <x v="115"/>
  </r>
  <r>
    <s v="skincare"/>
    <x v="116"/>
    <n v="24.89"/>
    <n v="67"/>
    <n v="939"/>
    <x v="7"/>
    <n v="81"/>
    <s v="High Risk"/>
    <n v="9"/>
    <x v="3"/>
    <x v="116"/>
    <x v="0"/>
    <s v="Arizona"/>
    <n v="7"/>
    <n v="438"/>
    <x v="27"/>
    <x v="116"/>
    <s v="Pass"/>
    <x v="116"/>
    <x v="1"/>
    <x v="0"/>
    <n v="627.30784300000005"/>
    <x v="116"/>
  </r>
  <r>
    <s v="haircare"/>
    <x v="117"/>
    <n v="40.19"/>
    <n v="11"/>
    <n v="525"/>
    <x v="21"/>
    <n v="32"/>
    <s v="High Risk"/>
    <n v="6"/>
    <x v="3"/>
    <x v="117"/>
    <x v="0"/>
    <s v="Texas"/>
    <n v="5"/>
    <n v="897"/>
    <x v="18"/>
    <x v="117"/>
    <s v="Pending"/>
    <x v="117"/>
    <x v="2"/>
    <x v="0"/>
    <n v="261.6478649"/>
    <x v="117"/>
  </r>
  <r>
    <s v="haircare"/>
    <x v="118"/>
    <n v="51.03"/>
    <n v="58"/>
    <n v="333"/>
    <x v="12"/>
    <n v="42"/>
    <s v="Low Risk"/>
    <n v="3"/>
    <x v="3"/>
    <x v="118"/>
    <x v="0"/>
    <s v="Washington"/>
    <n v="21"/>
    <n v="121"/>
    <x v="19"/>
    <x v="118"/>
    <s v="Pending"/>
    <x v="118"/>
    <x v="2"/>
    <x v="1"/>
    <n v="761.52087840000002"/>
    <x v="118"/>
  </r>
  <r>
    <s v="haircare"/>
    <x v="119"/>
    <n v="63.73"/>
    <n v="36"/>
    <n v="1"/>
    <x v="26"/>
    <n v="78"/>
    <s v="High Risk"/>
    <n v="7"/>
    <x v="3"/>
    <x v="119"/>
    <x v="4"/>
    <s v="Washington"/>
    <n v="26"/>
    <n v="870"/>
    <x v="4"/>
    <x v="119"/>
    <s v="Pass"/>
    <x v="119"/>
    <x v="1"/>
    <x v="0"/>
    <n v="269.75846710000002"/>
    <x v="119"/>
  </r>
  <r>
    <s v="haircare"/>
    <x v="120"/>
    <n v="40.049999999999997"/>
    <n v="60"/>
    <n v="374"/>
    <x v="19"/>
    <n v="10"/>
    <s v="Low Risk"/>
    <n v="9"/>
    <x v="3"/>
    <x v="120"/>
    <x v="4"/>
    <s v="Washington"/>
    <n v="5"/>
    <n v="968"/>
    <x v="12"/>
    <x v="120"/>
    <s v="Pass"/>
    <x v="120"/>
    <x v="1"/>
    <x v="1"/>
    <n v="202.1262739"/>
    <x v="120"/>
  </r>
  <r>
    <s v="skincare"/>
    <x v="121"/>
    <n v="48.94"/>
    <n v="42"/>
    <n v="292"/>
    <x v="13"/>
    <n v="36"/>
    <s v="Low Risk"/>
    <n v="3"/>
    <x v="0"/>
    <x v="121"/>
    <x v="3"/>
    <s v="Alaska"/>
    <n v="20"/>
    <n v="204"/>
    <x v="5"/>
    <x v="121"/>
    <s v="Pending"/>
    <x v="121"/>
    <x v="2"/>
    <x v="2"/>
    <n v="592.01154989999998"/>
    <x v="121"/>
  </r>
  <r>
    <s v="skincare"/>
    <x v="122"/>
    <n v="76.010000000000005"/>
    <n v="69"/>
    <n v="836"/>
    <x v="6"/>
    <n v="34"/>
    <s v="Low Risk"/>
    <n v="2"/>
    <x v="1"/>
    <x v="122"/>
    <x v="4"/>
    <s v="Washington"/>
    <n v="13"/>
    <n v="565"/>
    <x v="28"/>
    <x v="122"/>
    <s v="Fail"/>
    <x v="122"/>
    <x v="0"/>
    <x v="2"/>
    <n v="738.36742319999996"/>
    <x v="122"/>
  </r>
  <r>
    <s v="haircare"/>
    <x v="123"/>
    <n v="8.48"/>
    <n v="38"/>
    <n v="933"/>
    <x v="2"/>
    <n v="73"/>
    <s v="High Risk"/>
    <n v="7"/>
    <x v="0"/>
    <x v="123"/>
    <x v="3"/>
    <s v="Alaska"/>
    <n v="21"/>
    <n v="558"/>
    <x v="15"/>
    <x v="123"/>
    <s v="Pass"/>
    <x v="123"/>
    <x v="2"/>
    <x v="2"/>
    <n v="145.03225280000001"/>
    <x v="123"/>
  </r>
  <r>
    <s v="skincare"/>
    <x v="124"/>
    <n v="28.98"/>
    <n v="55"/>
    <n v="552"/>
    <x v="8"/>
    <n v="28"/>
    <s v="Low Risk"/>
    <n v="7"/>
    <x v="0"/>
    <x v="124"/>
    <x v="1"/>
    <s v="Alaska"/>
    <n v="29"/>
    <n v="531"/>
    <x v="7"/>
    <x v="124"/>
    <s v="Pending"/>
    <x v="124"/>
    <x v="1"/>
    <x v="2"/>
    <n v="162.4557834"/>
    <x v="124"/>
  </r>
  <r>
    <s v="haircare"/>
    <x v="125"/>
    <n v="72.77"/>
    <n v="62"/>
    <n v="317"/>
    <x v="19"/>
    <n v="11"/>
    <s v="Low Risk"/>
    <n v="4"/>
    <x v="0"/>
    <x v="125"/>
    <x v="2"/>
    <s v="Arizona"/>
    <n v="20"/>
    <n v="869"/>
    <x v="26"/>
    <x v="125"/>
    <s v="Pass"/>
    <x v="125"/>
    <x v="1"/>
    <x v="2"/>
    <n v="822.41124639999998"/>
    <x v="125"/>
  </r>
  <r>
    <s v="haircare"/>
    <x v="126"/>
    <n v="90.04"/>
    <n v="45"/>
    <n v="501"/>
    <x v="0"/>
    <n v="78"/>
    <s v="High Risk"/>
    <n v="9"/>
    <x v="3"/>
    <x v="126"/>
    <x v="2"/>
    <s v="Texas"/>
    <n v="29"/>
    <n v="815"/>
    <x v="6"/>
    <x v="126"/>
    <s v="Pending"/>
    <x v="126"/>
    <x v="1"/>
    <x v="1"/>
    <n v="828.12942959999998"/>
    <x v="126"/>
  </r>
  <r>
    <s v="haircare"/>
    <x v="127"/>
    <n v="55.55"/>
    <n v="10"/>
    <n v="380"/>
    <x v="17"/>
    <n v="47"/>
    <s v="High Risk"/>
    <n v="1"/>
    <x v="1"/>
    <x v="127"/>
    <x v="0"/>
    <s v="Texas"/>
    <n v="20"/>
    <n v="873"/>
    <x v="29"/>
    <x v="127"/>
    <s v="Pass"/>
    <x v="127"/>
    <x v="2"/>
    <x v="2"/>
    <n v="653.70538250000004"/>
    <x v="127"/>
  </r>
  <r>
    <s v="skincare"/>
    <x v="128"/>
    <n v="15.18"/>
    <n v="61"/>
    <n v="622"/>
    <x v="15"/>
    <n v="19"/>
    <s v="Low Risk"/>
    <n v="1"/>
    <x v="0"/>
    <x v="128"/>
    <x v="4"/>
    <s v="Washington"/>
    <n v="18"/>
    <n v="718"/>
    <x v="2"/>
    <x v="128"/>
    <s v="Pending"/>
    <x v="128"/>
    <x v="0"/>
    <x v="0"/>
    <n v="498.86206759999999"/>
    <x v="128"/>
  </r>
  <r>
    <s v="haircare"/>
    <x v="129"/>
    <n v="47.5"/>
    <n v="76"/>
    <n v="13"/>
    <x v="10"/>
    <n v="15"/>
    <s v="Low Risk"/>
    <n v="5"/>
    <x v="1"/>
    <x v="129"/>
    <x v="3"/>
    <s v="Texas"/>
    <n v="25"/>
    <n v="862"/>
    <x v="19"/>
    <x v="129"/>
    <s v="Fail"/>
    <x v="129"/>
    <x v="2"/>
    <x v="2"/>
    <n v="669.42643729999998"/>
    <x v="129"/>
  </r>
  <r>
    <s v="skincare"/>
    <x v="130"/>
    <n v="55.6"/>
    <n v="97"/>
    <n v="503"/>
    <x v="3"/>
    <n v="28"/>
    <s v="Low Risk"/>
    <n v="6"/>
    <x v="0"/>
    <x v="130"/>
    <x v="4"/>
    <s v="Alaska"/>
    <n v="2"/>
    <n v="320"/>
    <x v="1"/>
    <x v="130"/>
    <s v="Pass"/>
    <x v="130"/>
    <x v="1"/>
    <x v="1"/>
    <n v="876.59135570000001"/>
    <x v="130"/>
  </r>
  <r>
    <s v="skincare"/>
    <x v="131"/>
    <n v="28.03"/>
    <n v="24"/>
    <n v="230"/>
    <x v="7"/>
    <n v="24"/>
    <s v="Low Risk"/>
    <n v="3"/>
    <x v="2"/>
    <x v="131"/>
    <x v="3"/>
    <s v="Texas"/>
    <n v="25"/>
    <n v="478"/>
    <x v="26"/>
    <x v="131"/>
    <s v="Fail"/>
    <x v="131"/>
    <x v="2"/>
    <x v="1"/>
    <n v="171.87078210000001"/>
    <x v="131"/>
  </r>
  <r>
    <s v="haircare"/>
    <x v="132"/>
    <n v="30.58"/>
    <n v="70"/>
    <n v="984"/>
    <x v="26"/>
    <n v="72"/>
    <s v="High Risk"/>
    <n v="9"/>
    <x v="1"/>
    <x v="132"/>
    <x v="1"/>
    <s v="Alaska"/>
    <n v="26"/>
    <n v="321"/>
    <x v="24"/>
    <x v="132"/>
    <s v="Pass"/>
    <x v="132"/>
    <x v="2"/>
    <x v="2"/>
    <n v="800.18598340000005"/>
    <x v="132"/>
  </r>
  <r>
    <s v="NaN"/>
    <x v="133"/>
    <n v="40.840000000000003"/>
    <n v="51"/>
    <n v="83"/>
    <x v="13"/>
    <n v="9"/>
    <s v="Low Risk"/>
    <n v="6"/>
    <x v="1"/>
    <x v="133"/>
    <x v="1"/>
    <s v="New York"/>
    <n v="6"/>
    <n v="357"/>
    <x v="24"/>
    <x v="133"/>
    <s v="Pass"/>
    <x v="133"/>
    <x v="2"/>
    <x v="0"/>
    <n v="543.72619410000004"/>
    <x v="133"/>
  </r>
  <r>
    <s v="skincare"/>
    <x v="134"/>
    <n v="6.91"/>
    <n v="3"/>
    <n v="129"/>
    <x v="10"/>
    <n v="47"/>
    <s v="High Risk"/>
    <n v="4"/>
    <x v="0"/>
    <x v="134"/>
    <x v="4"/>
    <s v="Alaska"/>
    <n v="9"/>
    <n v="812"/>
    <x v="12"/>
    <x v="134"/>
    <s v="Pass"/>
    <x v="134"/>
    <x v="0"/>
    <x v="1"/>
    <n v="607.71424939999997"/>
    <x v="134"/>
  </r>
  <r>
    <s v="haircare"/>
    <x v="135"/>
    <n v="35.6"/>
    <n v="58"/>
    <n v="742"/>
    <x v="20"/>
    <n v="33"/>
    <s v="Low Risk"/>
    <n v="7"/>
    <x v="1"/>
    <x v="135"/>
    <x v="3"/>
    <s v="Alaska"/>
    <n v="25"/>
    <n v="466"/>
    <x v="15"/>
    <x v="135"/>
    <s v="Fail"/>
    <x v="135"/>
    <x v="0"/>
    <x v="2"/>
    <n v="688.53822400000001"/>
    <x v="135"/>
  </r>
  <r>
    <s v="skincare"/>
    <x v="136"/>
    <n v="25.09"/>
    <n v="71"/>
    <n v="837"/>
    <x v="9"/>
    <n v="62"/>
    <s v="Low Risk"/>
    <n v="8"/>
    <x v="0"/>
    <x v="136"/>
    <x v="0"/>
    <s v="Arizona"/>
    <n v="3"/>
    <n v="869"/>
    <x v="14"/>
    <x v="136"/>
    <s v="Pass"/>
    <x v="136"/>
    <x v="2"/>
    <x v="2"/>
    <n v="930.3608342"/>
    <x v="136"/>
  </r>
  <r>
    <s v="haircare"/>
    <x v="137"/>
    <n v="36.11"/>
    <n v="19"/>
    <n v="144"/>
    <x v="3"/>
    <n v="97"/>
    <s v="High Risk"/>
    <n v="9"/>
    <x v="1"/>
    <x v="137"/>
    <x v="2"/>
    <s v="Washington"/>
    <n v="1"/>
    <n v="448"/>
    <x v="21"/>
    <x v="137"/>
    <s v="Pending"/>
    <x v="137"/>
    <x v="0"/>
    <x v="1"/>
    <n v="151.04795820000001"/>
    <x v="137"/>
  </r>
  <r>
    <s v="haircare"/>
    <x v="138"/>
    <n v="16.38"/>
    <n v="92"/>
    <n v="890"/>
    <x v="16"/>
    <n v="19"/>
    <s v="Low Risk"/>
    <n v="6"/>
    <x v="1"/>
    <x v="138"/>
    <x v="4"/>
    <s v="Texas"/>
    <n v="1"/>
    <n v="324"/>
    <x v="29"/>
    <x v="138"/>
    <s v="Pending"/>
    <x v="138"/>
    <x v="2"/>
    <x v="2"/>
    <n v="126.52871690000001"/>
    <x v="138"/>
  </r>
  <r>
    <s v="haircare"/>
    <x v="139"/>
    <n v="89.6"/>
    <n v="62"/>
    <n v="856"/>
    <x v="24"/>
    <n v="67"/>
    <s v="High Risk"/>
    <n v="6"/>
    <x v="2"/>
    <x v="139"/>
    <x v="3"/>
    <s v="Texas"/>
    <n v="19"/>
    <n v="813"/>
    <x v="18"/>
    <x v="139"/>
    <s v="Fail"/>
    <x v="139"/>
    <x v="2"/>
    <x v="2"/>
    <n v="260.43560330000003"/>
    <x v="139"/>
  </r>
  <r>
    <s v="skincare"/>
    <x v="140"/>
    <n v="61.39"/>
    <n v="53"/>
    <n v="27"/>
    <x v="6"/>
    <n v="74"/>
    <s v="High Risk"/>
    <n v="8"/>
    <x v="0"/>
    <x v="140"/>
    <x v="1"/>
    <s v="Arizona"/>
    <n v="5"/>
    <n v="837"/>
    <x v="24"/>
    <x v="140"/>
    <s v="Pending"/>
    <x v="140"/>
    <x v="2"/>
    <x v="2"/>
    <n v="987.80295339999998"/>
    <x v="140"/>
  </r>
  <r>
    <s v="skincare"/>
    <x v="141"/>
    <n v="69.510000000000005"/>
    <n v="73"/>
    <n v="65"/>
    <x v="19"/>
    <n v="40"/>
    <s v="Low Risk"/>
    <n v="5"/>
    <x v="0"/>
    <x v="141"/>
    <x v="2"/>
    <s v="New York"/>
    <n v="13"/>
    <n v="335"/>
    <x v="24"/>
    <x v="141"/>
    <s v="Pending"/>
    <x v="141"/>
    <x v="0"/>
    <x v="2"/>
    <n v="743.56873059999998"/>
    <x v="141"/>
  </r>
  <r>
    <s v="haircare"/>
    <x v="142"/>
    <n v="79.97"/>
    <n v="97"/>
    <n v="162"/>
    <x v="17"/>
    <n v="47"/>
    <s v="Low Risk"/>
    <n v="3"/>
    <x v="3"/>
    <x v="142"/>
    <x v="4"/>
    <s v="New York"/>
    <n v="19"/>
    <n v="282"/>
    <x v="20"/>
    <x v="142"/>
    <s v="Fail"/>
    <x v="142"/>
    <x v="1"/>
    <x v="0"/>
    <n v="653.17700709999997"/>
    <x v="142"/>
  </r>
  <r>
    <s v="skincare"/>
    <x v="143"/>
    <n v="13.26"/>
    <n v="89"/>
    <n v="260"/>
    <x v="0"/>
    <n v="29"/>
    <s v="Low Risk"/>
    <n v="6"/>
    <x v="3"/>
    <x v="143"/>
    <x v="4"/>
    <s v="Arizona"/>
    <n v="16"/>
    <n v="968"/>
    <x v="17"/>
    <x v="143"/>
    <s v="Pass"/>
    <x v="143"/>
    <x v="1"/>
    <x v="1"/>
    <n v="891.19920149999996"/>
    <x v="143"/>
  </r>
  <r>
    <s v="haircare"/>
    <x v="144"/>
    <n v="56.03"/>
    <n v="40"/>
    <n v="448"/>
    <x v="16"/>
    <n v="50"/>
    <s v="High Risk"/>
    <n v="2"/>
    <x v="3"/>
    <x v="144"/>
    <x v="2"/>
    <s v="Texas"/>
    <n v="25"/>
    <n v="857"/>
    <x v="24"/>
    <x v="144"/>
    <s v="Pending"/>
    <x v="144"/>
    <x v="1"/>
    <x v="1"/>
    <n v="831.48116800000003"/>
    <x v="144"/>
  </r>
  <r>
    <s v="haircare"/>
    <x v="145"/>
    <n v="60.75"/>
    <n v="2"/>
    <n v="423"/>
    <x v="0"/>
    <n v="98"/>
    <s v="High Risk"/>
    <n v="6"/>
    <x v="0"/>
    <x v="145"/>
    <x v="5"/>
    <s v="Texas"/>
    <n v="25"/>
    <n v="543"/>
    <x v="17"/>
    <x v="145"/>
    <s v="Pass"/>
    <x v="145"/>
    <x v="0"/>
    <x v="0"/>
    <n v="698.32003950000001"/>
    <x v="145"/>
  </r>
  <r>
    <s v="skincare"/>
    <x v="146"/>
    <n v="75.819999999999993"/>
    <n v="5"/>
    <n v="459"/>
    <x v="23"/>
    <n v="13"/>
    <s v="High Risk"/>
    <n v="6"/>
    <x v="3"/>
    <x v="146"/>
    <x v="4"/>
    <s v="Washington"/>
    <n v="19"/>
    <n v="964"/>
    <x v="13"/>
    <x v="146"/>
    <s v="Fail"/>
    <x v="146"/>
    <x v="2"/>
    <x v="0"/>
    <n v="405.21773389999998"/>
    <x v="146"/>
  </r>
  <r>
    <s v="NaN"/>
    <x v="147"/>
    <n v="46.01"/>
    <n v="4"/>
    <n v="951"/>
    <x v="26"/>
    <n v="1"/>
    <s v="Low Risk"/>
    <n v="8"/>
    <x v="3"/>
    <x v="147"/>
    <x v="0"/>
    <s v="Texas"/>
    <n v="3"/>
    <n v="722"/>
    <x v="14"/>
    <x v="147"/>
    <s v="Pending"/>
    <x v="147"/>
    <x v="1"/>
    <x v="1"/>
    <n v="163.45446000000001"/>
    <x v="147"/>
  </r>
  <r>
    <s v="haircare"/>
    <x v="148"/>
    <n v="17.12"/>
    <n v="4"/>
    <n v="675"/>
    <x v="26"/>
    <n v="34"/>
    <s v="High Risk"/>
    <n v="7"/>
    <x v="1"/>
    <x v="148"/>
    <x v="3"/>
    <s v="New York"/>
    <n v="12"/>
    <n v="105"/>
    <x v="1"/>
    <x v="148"/>
    <s v="Pass"/>
    <x v="148"/>
    <x v="1"/>
    <x v="0"/>
    <n v="622.03463910000005"/>
    <x v="148"/>
  </r>
  <r>
    <s v="skincare"/>
    <x v="149"/>
    <n v="31.96"/>
    <n v="53"/>
    <n v="300"/>
    <x v="22"/>
    <n v="93"/>
    <s v="High Risk"/>
    <n v="8"/>
    <x v="0"/>
    <x v="149"/>
    <x v="4"/>
    <s v="Arizona"/>
    <n v="30"/>
    <n v="335"/>
    <x v="22"/>
    <x v="149"/>
    <s v="Pass"/>
    <x v="149"/>
    <x v="1"/>
    <x v="1"/>
    <n v="747.72511429999997"/>
    <x v="149"/>
  </r>
  <r>
    <s v="skincare"/>
    <x v="150"/>
    <n v="39.49"/>
    <n v="46"/>
    <n v="918"/>
    <x v="22"/>
    <n v="48"/>
    <s v="High Risk"/>
    <n v="9"/>
    <x v="1"/>
    <x v="150"/>
    <x v="4"/>
    <s v="Michigan"/>
    <n v="5"/>
    <n v="226"/>
    <x v="0"/>
    <x v="150"/>
    <s v="Fail"/>
    <x v="150"/>
    <x v="1"/>
    <x v="2"/>
    <n v="184.81631540000001"/>
    <x v="150"/>
  </r>
  <r>
    <s v="haircare"/>
    <x v="151"/>
    <n v="66.36"/>
    <n v="86"/>
    <n v="302"/>
    <x v="21"/>
    <n v="77"/>
    <s v="Low Risk"/>
    <n v="6"/>
    <x v="0"/>
    <x v="151"/>
    <x v="2"/>
    <s v="Washington"/>
    <n v="2"/>
    <n v="203"/>
    <x v="7"/>
    <x v="151"/>
    <s v="Fail"/>
    <x v="151"/>
    <x v="0"/>
    <x v="1"/>
    <n v="670.39089379999996"/>
    <x v="151"/>
  </r>
  <r>
    <s v="skincare"/>
    <x v="152"/>
    <n v="59.22"/>
    <n v="48"/>
    <n v="286"/>
    <x v="11"/>
    <n v="48"/>
    <s v="Low Risk"/>
    <n v="3"/>
    <x v="1"/>
    <x v="152"/>
    <x v="2"/>
    <s v="Alaska"/>
    <n v="22"/>
    <n v="848"/>
    <x v="23"/>
    <x v="152"/>
    <s v="Pending"/>
    <x v="152"/>
    <x v="0"/>
    <x v="0"/>
    <n v="357.72946109999998"/>
    <x v="152"/>
  </r>
  <r>
    <s v="haircare"/>
    <x v="153"/>
    <n v="38.83"/>
    <n v="8"/>
    <n v="394"/>
    <x v="19"/>
    <n v="49"/>
    <s v="High Risk"/>
    <n v="3"/>
    <x v="3"/>
    <x v="153"/>
    <x v="1"/>
    <s v="Arizona"/>
    <n v="7"/>
    <n v="579"/>
    <x v="22"/>
    <x v="153"/>
    <s v="Pending"/>
    <x v="153"/>
    <x v="2"/>
    <x v="0"/>
    <n v="787.81979909999995"/>
    <x v="153"/>
  </r>
  <r>
    <s v="skincare"/>
    <x v="154"/>
    <n v="98.72"/>
    <n v="98"/>
    <n v="9"/>
    <x v="19"/>
    <n v="64"/>
    <s v="Low Risk"/>
    <n v="1"/>
    <x v="0"/>
    <x v="154"/>
    <x v="3"/>
    <s v="Texas"/>
    <n v="13"/>
    <n v="254"/>
    <x v="27"/>
    <x v="154"/>
    <s v="Pass"/>
    <x v="154"/>
    <x v="2"/>
    <x v="1"/>
    <n v="585.65426549999995"/>
    <x v="154"/>
  </r>
  <r>
    <s v="skincare"/>
    <x v="155"/>
    <n v="62.55"/>
    <n v="19"/>
    <n v="706"/>
    <x v="29"/>
    <n v="61"/>
    <s v="High Risk"/>
    <n v="5"/>
    <x v="1"/>
    <x v="155"/>
    <x v="3"/>
    <s v="Michigan"/>
    <n v="25"/>
    <n v="356"/>
    <x v="5"/>
    <x v="155"/>
    <s v="Pass"/>
    <x v="155"/>
    <x v="0"/>
    <x v="2"/>
    <n v="216.13310899999999"/>
    <x v="155"/>
  </r>
  <r>
    <s v="skincare"/>
    <x v="156"/>
    <n v="27.54"/>
    <n v="60"/>
    <n v="629"/>
    <x v="1"/>
    <n v="29"/>
    <s v="Low Risk"/>
    <n v="4"/>
    <x v="1"/>
    <x v="156"/>
    <x v="4"/>
    <s v="Washington"/>
    <n v="15"/>
    <n v="334"/>
    <x v="6"/>
    <x v="156"/>
    <s v="Pending"/>
    <x v="156"/>
    <x v="1"/>
    <x v="0"/>
    <n v="573.86750300000006"/>
    <x v="156"/>
  </r>
  <r>
    <s v="haircare"/>
    <x v="157"/>
    <n v="14.67"/>
    <n v="34"/>
    <n v="269"/>
    <x v="10"/>
    <n v="39"/>
    <s v="High Risk"/>
    <n v="9"/>
    <x v="1"/>
    <x v="157"/>
    <x v="0"/>
    <s v="Michigan"/>
    <n v="22"/>
    <n v="599"/>
    <x v="28"/>
    <x v="157"/>
    <s v="Pass"/>
    <x v="157"/>
    <x v="2"/>
    <x v="0"/>
    <n v="456.16317700000002"/>
    <x v="157"/>
  </r>
  <r>
    <s v="skincare"/>
    <x v="158"/>
    <n v="19.52"/>
    <n v="49"/>
    <n v="591"/>
    <x v="23"/>
    <n v="88"/>
    <s v="High Risk"/>
    <n v="9"/>
    <x v="3"/>
    <x v="158"/>
    <x v="2"/>
    <s v="Michigan"/>
    <n v="3"/>
    <n v="388"/>
    <x v="11"/>
    <x v="158"/>
    <s v="Fail"/>
    <x v="158"/>
    <x v="0"/>
    <x v="1"/>
    <n v="262.32037150000002"/>
    <x v="158"/>
  </r>
  <r>
    <s v="haircare"/>
    <x v="159"/>
    <n v="28.37"/>
    <n v="81"/>
    <n v="969"/>
    <x v="20"/>
    <n v="26"/>
    <s v="Low Risk"/>
    <n v="5"/>
    <x v="0"/>
    <x v="159"/>
    <x v="4"/>
    <s v="Arizona"/>
    <n v="28"/>
    <n v="609"/>
    <x v="7"/>
    <x v="159"/>
    <s v="Pass"/>
    <x v="159"/>
    <x v="1"/>
    <x v="0"/>
    <n v="857.36415169999998"/>
    <x v="159"/>
  </r>
  <r>
    <s v="haircare"/>
    <x v="160"/>
    <n v="20.260000000000002"/>
    <n v="61"/>
    <n v="604"/>
    <x v="13"/>
    <n v="17"/>
    <s v="Low Risk"/>
    <n v="4"/>
    <x v="1"/>
    <x v="160"/>
    <x v="2"/>
    <s v="Texas"/>
    <n v="21"/>
    <n v="651"/>
    <x v="9"/>
    <x v="160"/>
    <s v="Fail"/>
    <x v="160"/>
    <x v="1"/>
    <x v="1"/>
    <n v="109.9256036"/>
    <x v="160"/>
  </r>
  <r>
    <s v="haircare"/>
    <x v="161"/>
    <n v="22.72"/>
    <n v="16"/>
    <n v="777"/>
    <x v="19"/>
    <n v="71"/>
    <s v="High Risk"/>
    <n v="7"/>
    <x v="0"/>
    <x v="161"/>
    <x v="2"/>
    <s v="Alaska"/>
    <n v="20"/>
    <n v="899"/>
    <x v="27"/>
    <x v="161"/>
    <s v="Fail"/>
    <x v="161"/>
    <x v="2"/>
    <x v="0"/>
    <n v="380.91544920000001"/>
    <x v="161"/>
  </r>
  <r>
    <s v="skincare"/>
    <x v="162"/>
    <n v="32.08"/>
    <n v="87"/>
    <n v="843"/>
    <x v="11"/>
    <n v="13"/>
    <s v="Low Risk"/>
    <n v="6"/>
    <x v="3"/>
    <x v="162"/>
    <x v="2"/>
    <s v="Michigan"/>
    <n v="5"/>
    <n v="808"/>
    <x v="26"/>
    <x v="162"/>
    <s v="Fail"/>
    <x v="162"/>
    <x v="1"/>
    <x v="0"/>
    <n v="111.3355344"/>
    <x v="162"/>
  </r>
  <r>
    <s v="skincare"/>
    <x v="163"/>
    <n v="21.47"/>
    <n v="2"/>
    <n v="861"/>
    <x v="9"/>
    <n v="69"/>
    <s v="High Risk"/>
    <n v="4"/>
    <x v="3"/>
    <x v="163"/>
    <x v="1"/>
    <s v="Washington"/>
    <n v="24"/>
    <n v="884"/>
    <x v="4"/>
    <x v="163"/>
    <s v="Fail"/>
    <x v="163"/>
    <x v="1"/>
    <x v="2"/>
    <n v="186.4062519"/>
    <x v="163"/>
  </r>
  <r>
    <s v="haircare"/>
    <x v="164"/>
    <n v="90.19"/>
    <n v="31"/>
    <n v="360"/>
    <x v="10"/>
    <n v="26"/>
    <s v="Low Risk"/>
    <n v="2"/>
    <x v="0"/>
    <x v="164"/>
    <x v="2"/>
    <s v="New York"/>
    <n v="8"/>
    <n v="993"/>
    <x v="23"/>
    <x v="164"/>
    <s v="Fail"/>
    <x v="164"/>
    <x v="2"/>
    <x v="2"/>
    <n v="367.38659730000001"/>
    <x v="164"/>
  </r>
  <r>
    <s v="skincare"/>
    <x v="165"/>
    <n v="12.62"/>
    <n v="98"/>
    <n v="256"/>
    <x v="8"/>
    <n v="49"/>
    <s v="Low Risk"/>
    <n v="1"/>
    <x v="3"/>
    <x v="165"/>
    <x v="2"/>
    <s v="Alaska"/>
    <n v="22"/>
    <n v="875"/>
    <x v="9"/>
    <x v="165"/>
    <s v="Fail"/>
    <x v="165"/>
    <x v="0"/>
    <x v="1"/>
    <n v="148.8440669"/>
    <x v="165"/>
  </r>
  <r>
    <s v="haircare"/>
    <x v="166"/>
    <n v="54.83"/>
    <n v="12"/>
    <n v="132"/>
    <x v="8"/>
    <n v="67"/>
    <s v="High Risk"/>
    <n v="4"/>
    <x v="3"/>
    <x v="166"/>
    <x v="4"/>
    <s v="Michigan"/>
    <n v="1"/>
    <n v="668"/>
    <x v="6"/>
    <x v="166"/>
    <s v="Pass"/>
    <x v="166"/>
    <x v="0"/>
    <x v="1"/>
    <n v="636.96747909999999"/>
    <x v="166"/>
  </r>
  <r>
    <s v="skincare"/>
    <x v="167"/>
    <n v="43.99"/>
    <n v="88"/>
    <n v="275"/>
    <x v="27"/>
    <n v="7"/>
    <s v="Low Risk"/>
    <n v="4"/>
    <x v="1"/>
    <x v="167"/>
    <x v="1"/>
    <s v="Alaska"/>
    <n v="8"/>
    <n v="397"/>
    <x v="5"/>
    <x v="167"/>
    <s v="Pass"/>
    <x v="167"/>
    <x v="2"/>
    <x v="0"/>
    <n v="178.17661720000001"/>
    <x v="167"/>
  </r>
  <r>
    <s v="haircare"/>
    <x v="168"/>
    <n v="98.33"/>
    <n v="72"/>
    <n v="775"/>
    <x v="19"/>
    <n v="58"/>
    <s v="Low Risk"/>
    <n v="1"/>
    <x v="1"/>
    <x v="168"/>
    <x v="3"/>
    <s v="Texas"/>
    <n v="24"/>
    <n v="709"/>
    <x v="5"/>
    <x v="168"/>
    <s v="Fail"/>
    <x v="168"/>
    <x v="2"/>
    <x v="1"/>
    <n v="731.54227070000002"/>
    <x v="168"/>
  </r>
  <r>
    <s v="skincare"/>
    <x v="169"/>
    <n v="15.64"/>
    <n v="67"/>
    <n v="682"/>
    <x v="2"/>
    <n v="49"/>
    <s v="Low Risk"/>
    <n v="6"/>
    <x v="1"/>
    <x v="169"/>
    <x v="4"/>
    <s v="Texas"/>
    <n v="18"/>
    <n v="236"/>
    <x v="15"/>
    <x v="169"/>
    <s v="Fail"/>
    <x v="169"/>
    <x v="1"/>
    <x v="1"/>
    <n v="147.37790140000001"/>
    <x v="169"/>
  </r>
  <r>
    <s v="haircare"/>
    <x v="170"/>
    <n v="42.8"/>
    <n v="13"/>
    <n v="971"/>
    <x v="28"/>
    <n v="53"/>
    <s v="High Risk"/>
    <n v="4"/>
    <x v="1"/>
    <x v="170"/>
    <x v="2"/>
    <s v="Texas"/>
    <n v="20"/>
    <n v="475"/>
    <x v="17"/>
    <x v="170"/>
    <s v="Fail"/>
    <x v="170"/>
    <x v="1"/>
    <x v="2"/>
    <n v="153.37800530000001"/>
    <x v="170"/>
  </r>
  <r>
    <s v="skincare"/>
    <x v="171"/>
    <n v="97.1"/>
    <n v="97"/>
    <n v="512"/>
    <x v="22"/>
    <n v="65"/>
    <s v="Low Risk"/>
    <n v="1"/>
    <x v="3"/>
    <x v="171"/>
    <x v="4"/>
    <s v="Alaska"/>
    <n v="28"/>
    <n v="186"/>
    <x v="11"/>
    <x v="171"/>
    <s v="Pass"/>
    <x v="171"/>
    <x v="1"/>
    <x v="1"/>
    <n v="374.79330909999999"/>
    <x v="171"/>
  </r>
  <r>
    <s v="haircare"/>
    <x v="172"/>
    <n v="87.22"/>
    <n v="10"/>
    <n v="312"/>
    <x v="11"/>
    <n v="62"/>
    <s v="High Risk"/>
    <n v="1"/>
    <x v="3"/>
    <x v="172"/>
    <x v="4"/>
    <s v="Alaska"/>
    <n v="16"/>
    <n v="518"/>
    <x v="20"/>
    <x v="172"/>
    <s v="Pending"/>
    <x v="172"/>
    <x v="1"/>
    <x v="2"/>
    <n v="906.91437250000001"/>
    <x v="172"/>
  </r>
  <r>
    <s v="haircare"/>
    <x v="173"/>
    <n v="82.62"/>
    <n v="55"/>
    <n v="575"/>
    <x v="15"/>
    <n v="17"/>
    <s v="Low Risk"/>
    <n v="1"/>
    <x v="3"/>
    <x v="173"/>
    <x v="4"/>
    <s v="Washington"/>
    <n v="18"/>
    <n v="853"/>
    <x v="9"/>
    <x v="173"/>
    <s v="Pending"/>
    <x v="173"/>
    <x v="1"/>
    <x v="1"/>
    <n v="677.25392390000002"/>
    <x v="173"/>
  </r>
  <r>
    <s v="haircare"/>
    <x v="174"/>
    <n v="29.5"/>
    <n v="66"/>
    <n v="885"/>
    <x v="4"/>
    <n v="43"/>
    <s v="Low Risk"/>
    <n v="8"/>
    <x v="1"/>
    <x v="174"/>
    <x v="3"/>
    <s v="Texas"/>
    <n v="20"/>
    <n v="298"/>
    <x v="6"/>
    <x v="174"/>
    <s v="Pass"/>
    <x v="174"/>
    <x v="0"/>
    <x v="3"/>
    <n v="793.11816269999997"/>
    <x v="174"/>
  </r>
  <r>
    <s v="skincare"/>
    <x v="175"/>
    <n v="21.23"/>
    <n v="91"/>
    <n v="979"/>
    <x v="9"/>
    <n v="25"/>
    <s v="Low Risk"/>
    <n v="8"/>
    <x v="1"/>
    <x v="175"/>
    <x v="3"/>
    <s v="Washington"/>
    <n v="12"/>
    <n v="562"/>
    <x v="23"/>
    <x v="175"/>
    <s v="Pass"/>
    <x v="175"/>
    <x v="0"/>
    <x v="0"/>
    <n v="227.39689849999999"/>
    <x v="175"/>
  </r>
  <r>
    <s v="skincare"/>
    <x v="176"/>
    <n v="68.52"/>
    <n v="28"/>
    <n v="283"/>
    <x v="13"/>
    <n v="3"/>
    <s v="Low Risk"/>
    <n v="2"/>
    <x v="0"/>
    <x v="176"/>
    <x v="2"/>
    <s v="Texas"/>
    <n v="13"/>
    <n v="536"/>
    <x v="26"/>
    <x v="176"/>
    <s v="Pass"/>
    <x v="176"/>
    <x v="1"/>
    <x v="2"/>
    <n v="850.71288990000005"/>
    <x v="176"/>
  </r>
  <r>
    <s v="haircare"/>
    <x v="177"/>
    <n v="93.29"/>
    <n v="8"/>
    <n v="120"/>
    <x v="4"/>
    <n v="79"/>
    <s v="High Risk"/>
    <n v="7"/>
    <x v="0"/>
    <x v="177"/>
    <x v="3"/>
    <s v="Arizona"/>
    <n v="13"/>
    <n v="409"/>
    <x v="28"/>
    <x v="177"/>
    <s v="Fail"/>
    <x v="177"/>
    <x v="2"/>
    <x v="1"/>
    <n v="107.3316234"/>
    <x v="177"/>
  </r>
  <r>
    <s v="skincare"/>
    <x v="178"/>
    <n v="57.89"/>
    <n v="66"/>
    <n v="106"/>
    <x v="17"/>
    <n v="29"/>
    <s v="Low Risk"/>
    <n v="8"/>
    <x v="1"/>
    <x v="178"/>
    <x v="2"/>
    <s v="Arizona"/>
    <n v="10"/>
    <n v="695"/>
    <x v="23"/>
    <x v="178"/>
    <s v="Fail"/>
    <x v="178"/>
    <x v="2"/>
    <x v="2"/>
    <n v="291.7516157"/>
    <x v="178"/>
  </r>
  <r>
    <s v="skincare"/>
    <x v="179"/>
    <n v="59.3"/>
    <n v="24"/>
    <n v="932"/>
    <x v="16"/>
    <n v="32"/>
    <s v="High Risk"/>
    <n v="8"/>
    <x v="0"/>
    <x v="179"/>
    <x v="0"/>
    <s v="Michigan"/>
    <n v="7"/>
    <n v="853"/>
    <x v="19"/>
    <x v="179"/>
    <s v="Pass"/>
    <x v="179"/>
    <x v="2"/>
    <x v="2"/>
    <n v="654.48308899999995"/>
    <x v="179"/>
  </r>
  <r>
    <s v="skincare"/>
    <x v="180"/>
    <n v="31.6"/>
    <n v="97"/>
    <n v="686"/>
    <x v="20"/>
    <n v="26"/>
    <s v="Low Risk"/>
    <n v="7"/>
    <x v="3"/>
    <x v="180"/>
    <x v="1"/>
    <s v="Michigan"/>
    <n v="25"/>
    <n v="380"/>
    <x v="17"/>
    <x v="180"/>
    <s v="Pending"/>
    <x v="180"/>
    <x v="1"/>
    <x v="2"/>
    <n v="437.72176769999999"/>
    <x v="180"/>
  </r>
  <r>
    <s v="skincare"/>
    <x v="181"/>
    <n v="78.099999999999994"/>
    <n v="75"/>
    <n v="996"/>
    <x v="8"/>
    <n v="16"/>
    <s v="Low Risk"/>
    <n v="5"/>
    <x v="3"/>
    <x v="181"/>
    <x v="5"/>
    <s v="Washington"/>
    <n v="14"/>
    <n v="422"/>
    <x v="24"/>
    <x v="181"/>
    <s v="Pass"/>
    <x v="181"/>
    <x v="2"/>
    <x v="0"/>
    <n v="985.77405250000004"/>
    <x v="181"/>
  </r>
  <r>
    <s v="haircare"/>
    <x v="182"/>
    <n v="22.77"/>
    <n v="41"/>
    <n v="203"/>
    <x v="14"/>
    <n v="25"/>
    <s v="Low Risk"/>
    <n v="1"/>
    <x v="3"/>
    <x v="182"/>
    <x v="1"/>
    <s v="Texas"/>
    <n v="30"/>
    <n v="863"/>
    <x v="22"/>
    <x v="182"/>
    <s v="Fail"/>
    <x v="182"/>
    <x v="1"/>
    <x v="2"/>
    <n v="127.3053221"/>
    <x v="182"/>
  </r>
  <r>
    <s v="haircare"/>
    <x v="183"/>
    <n v="35.75"/>
    <n v="8"/>
    <n v="164"/>
    <x v="7"/>
    <n v="54"/>
    <s v="High Risk"/>
    <n v="9"/>
    <x v="1"/>
    <x v="183"/>
    <x v="0"/>
    <s v="Arizona"/>
    <n v="24"/>
    <n v="801"/>
    <x v="25"/>
    <x v="183"/>
    <s v="Fail"/>
    <x v="183"/>
    <x v="0"/>
    <x v="1"/>
    <n v="998.73835110000005"/>
    <x v="183"/>
  </r>
  <r>
    <s v="skincare"/>
    <x v="184"/>
    <n v="45.42"/>
    <n v="78"/>
    <n v="304"/>
    <x v="16"/>
    <n v="28"/>
    <s v="Low Risk"/>
    <n v="7"/>
    <x v="1"/>
    <x v="184"/>
    <x v="0"/>
    <s v="Alaska"/>
    <n v="16"/>
    <n v="251"/>
    <x v="5"/>
    <x v="184"/>
    <s v="Pending"/>
    <x v="184"/>
    <x v="1"/>
    <x v="0"/>
    <n v="661.2650496"/>
    <x v="184"/>
  </r>
  <r>
    <s v="skincare"/>
    <x v="185"/>
    <n v="53.22"/>
    <n v="39"/>
    <n v="496"/>
    <x v="2"/>
    <n v="73"/>
    <s v="High Risk"/>
    <n v="2"/>
    <x v="3"/>
    <x v="185"/>
    <x v="3"/>
    <s v="Michigan"/>
    <n v="15"/>
    <n v="401"/>
    <x v="7"/>
    <x v="185"/>
    <s v="Pass"/>
    <x v="185"/>
    <x v="0"/>
    <x v="2"/>
    <n v="602.83629510000003"/>
    <x v="185"/>
  </r>
  <r>
    <s v="skincare"/>
    <x v="186"/>
    <n v="28.03"/>
    <n v="24"/>
    <n v="631"/>
    <x v="26"/>
    <n v="56"/>
    <s v="High Risk"/>
    <n v="6"/>
    <x v="3"/>
    <x v="186"/>
    <x v="0"/>
    <s v="Arizona"/>
    <n v="12"/>
    <n v="377"/>
    <x v="11"/>
    <x v="186"/>
    <s v="Pending"/>
    <x v="186"/>
    <x v="1"/>
    <x v="0"/>
    <n v="153.5611983"/>
    <x v="186"/>
  </r>
  <r>
    <s v="haircare"/>
    <x v="187"/>
    <n v="15.91"/>
    <n v="4"/>
    <n v="555"/>
    <x v="6"/>
    <n v="65"/>
    <s v="High Risk"/>
    <n v="2"/>
    <x v="0"/>
    <x v="187"/>
    <x v="4"/>
    <s v="Arizona"/>
    <n v="9"/>
    <n v="750"/>
    <x v="22"/>
    <x v="187"/>
    <s v="Pending"/>
    <x v="187"/>
    <x v="0"/>
    <x v="1"/>
    <n v="345.99598900000001"/>
    <x v="187"/>
  </r>
  <r>
    <s v="haircare"/>
    <x v="188"/>
    <n v="63.01"/>
    <n v="10"/>
    <n v="823"/>
    <x v="13"/>
    <n v="93"/>
    <s v="High Risk"/>
    <n v="1"/>
    <x v="3"/>
    <x v="188"/>
    <x v="4"/>
    <s v="Alaska"/>
    <n v="8"/>
    <n v="787"/>
    <x v="16"/>
    <x v="188"/>
    <s v="Pass"/>
    <x v="188"/>
    <x v="1"/>
    <x v="0"/>
    <n v="932.19641950000005"/>
    <x v="188"/>
  </r>
  <r>
    <s v="skincare"/>
    <x v="189"/>
    <n v="32.42"/>
    <n v="58"/>
    <n v="155"/>
    <x v="19"/>
    <n v="86"/>
    <s v="High Risk"/>
    <n v="7"/>
    <x v="1"/>
    <x v="189"/>
    <x v="0"/>
    <s v="Michigan"/>
    <n v="18"/>
    <n v="107"/>
    <x v="22"/>
    <x v="189"/>
    <s v="Pass"/>
    <x v="189"/>
    <x v="0"/>
    <x v="2"/>
    <n v="418.82140290000001"/>
    <x v="189"/>
  </r>
  <r>
    <s v="skincare"/>
    <x v="190"/>
    <n v="60.22"/>
    <n v="97"/>
    <n v="366"/>
    <x v="15"/>
    <n v="80"/>
    <s v="Low Risk"/>
    <n v="2"/>
    <x v="0"/>
    <x v="190"/>
    <x v="3"/>
    <s v="Washington"/>
    <n v="23"/>
    <n v="906"/>
    <x v="16"/>
    <x v="190"/>
    <s v="Fail"/>
    <x v="190"/>
    <x v="0"/>
    <x v="1"/>
    <n v="695.48788039999999"/>
    <x v="190"/>
  </r>
  <r>
    <s v="skincare"/>
    <x v="191"/>
    <n v="19.66"/>
    <n v="87"/>
    <n v="718"/>
    <x v="2"/>
    <n v="41"/>
    <s v="Low Risk"/>
    <n v="2"/>
    <x v="1"/>
    <x v="191"/>
    <x v="3"/>
    <s v="Washington"/>
    <n v="18"/>
    <n v="334"/>
    <x v="25"/>
    <x v="191"/>
    <s v="Pending"/>
    <x v="191"/>
    <x v="2"/>
    <x v="1"/>
    <n v="999.54671540000004"/>
    <x v="191"/>
  </r>
  <r>
    <s v="skincare"/>
    <x v="192"/>
    <n v="50.71"/>
    <n v="78"/>
    <n v="901"/>
    <x v="21"/>
    <n v="51"/>
    <s v="Low Risk"/>
    <n v="5"/>
    <x v="3"/>
    <x v="192"/>
    <x v="1"/>
    <s v="Arizona"/>
    <n v="13"/>
    <n v="774"/>
    <x v="17"/>
    <x v="192"/>
    <s v="Pending"/>
    <x v="192"/>
    <x v="2"/>
    <x v="1"/>
    <n v="336.7627425"/>
    <x v="192"/>
  </r>
  <r>
    <s v="skincare"/>
    <x v="193"/>
    <n v="55.6"/>
    <n v="37"/>
    <n v="619"/>
    <x v="13"/>
    <n v="71"/>
    <s v="High Risk"/>
    <n v="5"/>
    <x v="0"/>
    <x v="193"/>
    <x v="2"/>
    <s v="Arizona"/>
    <n v="28"/>
    <n v="660"/>
    <x v="27"/>
    <x v="193"/>
    <s v="Fail"/>
    <x v="193"/>
    <x v="0"/>
    <x v="2"/>
    <n v="618.47279109999999"/>
    <x v="193"/>
  </r>
  <r>
    <s v="haircare"/>
    <x v="194"/>
    <n v="9.92"/>
    <n v="71"/>
    <n v="250"/>
    <x v="12"/>
    <n v="78"/>
    <s v="High Risk"/>
    <n v="7"/>
    <x v="0"/>
    <x v="194"/>
    <x v="4"/>
    <s v="Texas"/>
    <n v="27"/>
    <n v="401"/>
    <x v="29"/>
    <x v="194"/>
    <s v="Pending"/>
    <x v="194"/>
    <x v="2"/>
    <x v="1"/>
    <n v="726.79401340000004"/>
    <x v="194"/>
  </r>
  <r>
    <s v="haircare"/>
    <x v="195"/>
    <n v="36.979999999999997"/>
    <n v="4"/>
    <n v="956"/>
    <x v="7"/>
    <n v="29"/>
    <s v="High Risk"/>
    <n v="1"/>
    <x v="0"/>
    <x v="195"/>
    <x v="1"/>
    <s v="Washington"/>
    <n v="18"/>
    <n v="137"/>
    <x v="8"/>
    <x v="195"/>
    <s v="Pass"/>
    <x v="195"/>
    <x v="1"/>
    <x v="2"/>
    <n v="248.16452190000001"/>
    <x v="195"/>
  </r>
  <r>
    <s v="skincare"/>
    <x v="196"/>
    <n v="17.77"/>
    <n v="47"/>
    <n v="915"/>
    <x v="1"/>
    <n v="83"/>
    <s v="High Risk"/>
    <n v="8"/>
    <x v="0"/>
    <x v="196"/>
    <x v="0"/>
    <s v="Arizona"/>
    <n v="15"/>
    <n v="235"/>
    <x v="25"/>
    <x v="196"/>
    <s v="Pass"/>
    <x v="196"/>
    <x v="1"/>
    <x v="0"/>
    <n v="233.80530730000001"/>
    <x v="196"/>
  </r>
  <r>
    <s v="skincare"/>
    <x v="197"/>
    <n v="11.02"/>
    <n v="89"/>
    <n v="881"/>
    <x v="26"/>
    <n v="19"/>
    <s v="Low Risk"/>
    <n v="3"/>
    <x v="0"/>
    <x v="197"/>
    <x v="4"/>
    <s v="Michigan"/>
    <n v="4"/>
    <n v="921"/>
    <x v="13"/>
    <x v="197"/>
    <s v="Pending"/>
    <x v="197"/>
    <x v="0"/>
    <x v="2"/>
    <n v="510.6771205"/>
    <x v="197"/>
  </r>
  <r>
    <s v="haircare"/>
    <x v="198"/>
    <n v="99.05"/>
    <n v="17"/>
    <n v="333"/>
    <x v="15"/>
    <n v="66"/>
    <s v="High Risk"/>
    <n v="4"/>
    <x v="0"/>
    <x v="198"/>
    <x v="3"/>
    <s v="Alaska"/>
    <n v="17"/>
    <n v="520"/>
    <x v="26"/>
    <x v="198"/>
    <s v="Pending"/>
    <x v="198"/>
    <x v="1"/>
    <x v="2"/>
    <n v="447.23126960000002"/>
    <x v="198"/>
  </r>
  <r>
    <s v="haircare"/>
    <x v="199"/>
    <n v="35.619999999999997"/>
    <n v="69"/>
    <n v="641"/>
    <x v="23"/>
    <n v="41"/>
    <s v="Low Risk"/>
    <n v="9"/>
    <x v="1"/>
    <x v="199"/>
    <x v="3"/>
    <s v="Michigan"/>
    <n v="5"/>
    <n v="318"/>
    <x v="12"/>
    <x v="199"/>
    <s v="Fail"/>
    <x v="199"/>
    <x v="0"/>
    <x v="1"/>
    <n v="742.79389319999996"/>
    <x v="199"/>
  </r>
  <r>
    <s v="skincare"/>
    <x v="200"/>
    <n v="81.94"/>
    <n v="36"/>
    <n v="968"/>
    <x v="1"/>
    <n v="45"/>
    <s v="High Risk"/>
    <n v="4"/>
    <x v="1"/>
    <x v="200"/>
    <x v="1"/>
    <s v="Washington"/>
    <n v="22"/>
    <n v="447"/>
    <x v="24"/>
    <x v="200"/>
    <s v="Pending"/>
    <x v="200"/>
    <x v="2"/>
    <x v="1"/>
    <n v="162.55789429999999"/>
    <x v="200"/>
  </r>
  <r>
    <s v="haircare"/>
    <x v="201"/>
    <n v="29.19"/>
    <n v="59"/>
    <n v="510"/>
    <x v="24"/>
    <n v="15"/>
    <s v="Low Risk"/>
    <n v="5"/>
    <x v="1"/>
    <x v="201"/>
    <x v="4"/>
    <s v="Texas"/>
    <n v="16"/>
    <n v="907"/>
    <x v="4"/>
    <x v="201"/>
    <s v="Pending"/>
    <x v="201"/>
    <x v="0"/>
    <x v="2"/>
    <n v="974.94996140000001"/>
    <x v="201"/>
  </r>
  <r>
    <s v="haircare"/>
    <x v="202"/>
    <n v="69.739999999999995"/>
    <n v="47"/>
    <n v="292"/>
    <x v="11"/>
    <n v="3"/>
    <s v="Low Risk"/>
    <n v="7"/>
    <x v="1"/>
    <x v="202"/>
    <x v="4"/>
    <s v="Texas"/>
    <n v="9"/>
    <n v="645"/>
    <x v="3"/>
    <x v="202"/>
    <s v="Pending"/>
    <x v="202"/>
    <x v="2"/>
    <x v="1"/>
    <n v="112.8492835"/>
    <x v="202"/>
  </r>
  <r>
    <s v="skincare"/>
    <x v="203"/>
    <n v="77.22"/>
    <n v="76"/>
    <n v="19"/>
    <x v="2"/>
    <n v="11"/>
    <s v="Low Risk"/>
    <n v="4"/>
    <x v="0"/>
    <x v="203"/>
    <x v="2"/>
    <s v="Washington"/>
    <n v="10"/>
    <n v="963"/>
    <x v="9"/>
    <x v="203"/>
    <s v="Pending"/>
    <x v="203"/>
    <x v="0"/>
    <x v="1"/>
    <n v="641.18514189999996"/>
    <x v="203"/>
  </r>
  <r>
    <s v="skincare"/>
    <x v="204"/>
    <n v="61.59"/>
    <n v="27"/>
    <n v="281"/>
    <x v="29"/>
    <n v="53"/>
    <s v="High Risk"/>
    <n v="1"/>
    <x v="3"/>
    <x v="204"/>
    <x v="2"/>
    <s v="Washington"/>
    <n v="24"/>
    <n v="178"/>
    <x v="29"/>
    <x v="204"/>
    <s v="Pending"/>
    <x v="204"/>
    <x v="1"/>
    <x v="2"/>
    <n v="606.36933629999999"/>
    <x v="204"/>
  </r>
  <r>
    <s v="skincare"/>
    <x v="205"/>
    <n v="49.8"/>
    <n v="68"/>
    <n v="796"/>
    <x v="1"/>
    <n v="46"/>
    <s v="Low Risk"/>
    <n v="9"/>
    <x v="3"/>
    <x v="205"/>
    <x v="1"/>
    <s v="Washington"/>
    <n v="18"/>
    <n v="847"/>
    <x v="21"/>
    <x v="205"/>
    <s v="Pass"/>
    <x v="205"/>
    <x v="0"/>
    <x v="3"/>
    <n v="221.24415780000001"/>
    <x v="205"/>
  </r>
  <r>
    <s v="haircare"/>
    <x v="206"/>
    <n v="44.12"/>
    <n v="76"/>
    <n v="0"/>
    <x v="7"/>
    <n v="30"/>
    <s v="Low Risk"/>
    <n v="4"/>
    <x v="1"/>
    <x v="206"/>
    <x v="3"/>
    <s v="Washington"/>
    <n v="17"/>
    <n v="994"/>
    <x v="14"/>
    <x v="206"/>
    <s v="Pending"/>
    <x v="206"/>
    <x v="0"/>
    <x v="0"/>
    <n v="235.82438440000001"/>
    <x v="206"/>
  </r>
  <r>
    <s v="skincare"/>
    <x v="207"/>
    <n v="38.14"/>
    <n v="80"/>
    <n v="118"/>
    <x v="28"/>
    <n v="57"/>
    <s v="Low Risk"/>
    <n v="9"/>
    <x v="0"/>
    <x v="207"/>
    <x v="0"/>
    <s v="Texas"/>
    <n v="18"/>
    <n v="372"/>
    <x v="9"/>
    <x v="207"/>
    <s v="Pass"/>
    <x v="207"/>
    <x v="0"/>
    <x v="1"/>
    <n v="813.40973899999995"/>
    <x v="207"/>
  </r>
  <r>
    <s v="haircare"/>
    <x v="208"/>
    <n v="93.31"/>
    <n v="39"/>
    <n v="34"/>
    <x v="18"/>
    <n v="18"/>
    <s v="Low Risk"/>
    <n v="6"/>
    <x v="3"/>
    <x v="208"/>
    <x v="2"/>
    <s v="Arizona"/>
    <n v="7"/>
    <n v="260"/>
    <x v="22"/>
    <x v="208"/>
    <s v="Pending"/>
    <x v="208"/>
    <x v="1"/>
    <x v="0"/>
    <n v="898.80621259999998"/>
    <x v="208"/>
  </r>
  <r>
    <s v="haircare"/>
    <x v="209"/>
    <n v="83.91"/>
    <n v="44"/>
    <n v="197"/>
    <x v="6"/>
    <n v="51"/>
    <s v="High Risk"/>
    <n v="1"/>
    <x v="0"/>
    <x v="209"/>
    <x v="0"/>
    <s v="Washington"/>
    <n v="4"/>
    <n v="786"/>
    <x v="7"/>
    <x v="209"/>
    <s v="Fail"/>
    <x v="209"/>
    <x v="2"/>
    <x v="1"/>
    <n v="354.71526929999999"/>
    <x v="209"/>
  </r>
  <r>
    <s v="skincare"/>
    <x v="210"/>
    <n v="96.68"/>
    <n v="95"/>
    <n v="484"/>
    <x v="22"/>
    <n v="48"/>
    <s v="Low Risk"/>
    <n v="3"/>
    <x v="3"/>
    <x v="210"/>
    <x v="1"/>
    <s v="Washington"/>
    <n v="26"/>
    <n v="977"/>
    <x v="0"/>
    <x v="210"/>
    <s v="Pending"/>
    <x v="210"/>
    <x v="1"/>
    <x v="2"/>
    <n v="494.16756759999998"/>
    <x v="210"/>
  </r>
  <r>
    <s v="skincare"/>
    <x v="211"/>
    <n v="74.430000000000007"/>
    <n v="92"/>
    <n v="58"/>
    <x v="29"/>
    <n v="96"/>
    <s v="High Risk"/>
    <n v="9"/>
    <x v="1"/>
    <x v="211"/>
    <x v="2"/>
    <s v="Arizona"/>
    <n v="28"/>
    <n v="473"/>
    <x v="24"/>
    <x v="211"/>
    <s v="Pass"/>
    <x v="211"/>
    <x v="1"/>
    <x v="2"/>
    <n v="165.2923117"/>
    <x v="211"/>
  </r>
  <r>
    <s v="skincare"/>
    <x v="212"/>
    <n v="94.14"/>
    <n v="57"/>
    <n v="836"/>
    <x v="20"/>
    <n v="8"/>
    <s v="Low Risk"/>
    <n v="1"/>
    <x v="1"/>
    <x v="212"/>
    <x v="4"/>
    <s v="Alaska"/>
    <n v="23"/>
    <n v="832"/>
    <x v="6"/>
    <x v="212"/>
    <s v="Pass"/>
    <x v="212"/>
    <x v="1"/>
    <x v="1"/>
    <n v="705.88382139999999"/>
    <x v="212"/>
  </r>
  <r>
    <s v="skincare"/>
    <x v="213"/>
    <n v="22.22"/>
    <n v="66"/>
    <n v="160"/>
    <x v="17"/>
    <n v="22"/>
    <s v="Low Risk"/>
    <n v="9"/>
    <x v="0"/>
    <x v="213"/>
    <x v="0"/>
    <s v="Alaska"/>
    <n v="16"/>
    <n v="108"/>
    <x v="28"/>
    <x v="213"/>
    <s v="nan"/>
    <x v="213"/>
    <x v="0"/>
    <x v="0"/>
    <n v="842.67364129999999"/>
    <x v="213"/>
  </r>
  <r>
    <s v="haircare"/>
    <x v="214"/>
    <n v="11.32"/>
    <n v="55"/>
    <n v="690"/>
    <x v="14"/>
    <n v="6"/>
    <s v="Low Risk"/>
    <n v="9"/>
    <x v="0"/>
    <x v="214"/>
    <x v="4"/>
    <s v="Texas"/>
    <n v="3"/>
    <n v="900"/>
    <x v="20"/>
    <x v="214"/>
    <s v="Pending"/>
    <x v="214"/>
    <x v="1"/>
    <x v="1"/>
    <n v="374.39142170000002"/>
    <x v="214"/>
  </r>
  <r>
    <s v="haircare"/>
    <x v="215"/>
    <n v="75.41"/>
    <n v="39"/>
    <n v="205"/>
    <x v="25"/>
    <n v="76"/>
    <s v="High Risk"/>
    <n v="8"/>
    <x v="0"/>
    <x v="215"/>
    <x v="1"/>
    <s v="Alaska"/>
    <n v="26"/>
    <n v="543"/>
    <x v="0"/>
    <x v="215"/>
    <s v="Pass"/>
    <x v="215"/>
    <x v="0"/>
    <x v="0"/>
    <n v="991.15821430000005"/>
    <x v="215"/>
  </r>
  <r>
    <s v="haircare"/>
    <x v="216"/>
    <n v="59.57"/>
    <n v="97"/>
    <n v="11"/>
    <x v="2"/>
    <n v="57"/>
    <s v="Low Risk"/>
    <n v="8"/>
    <x v="1"/>
    <x v="216"/>
    <x v="0"/>
    <s v="Washington"/>
    <n v="18"/>
    <n v="212"/>
    <x v="26"/>
    <x v="216"/>
    <s v="nan"/>
    <x v="216"/>
    <x v="1"/>
    <x v="2"/>
    <n v="168.26640159999999"/>
    <x v="216"/>
  </r>
  <r>
    <s v="haircare"/>
    <x v="217"/>
    <n v="84.97"/>
    <n v="39"/>
    <n v="489"/>
    <x v="6"/>
    <n v="36"/>
    <s v="Low Risk"/>
    <n v="1"/>
    <x v="3"/>
    <x v="217"/>
    <x v="1"/>
    <s v="Texas"/>
    <n v="29"/>
    <n v="304"/>
    <x v="22"/>
    <x v="217"/>
    <s v="Pending"/>
    <x v="217"/>
    <x v="1"/>
    <x v="1"/>
    <n v="695.61164240000005"/>
    <x v="217"/>
  </r>
  <r>
    <s v="NaN"/>
    <x v="218"/>
    <n v="18.28"/>
    <n v="90"/>
    <n v="275"/>
    <x v="12"/>
    <n v="79"/>
    <s v="Low Risk"/>
    <n v="8"/>
    <x v="0"/>
    <x v="218"/>
    <x v="0"/>
    <s v="Texas"/>
    <n v="23"/>
    <n v="504"/>
    <x v="25"/>
    <x v="218"/>
    <s v="Fail"/>
    <x v="218"/>
    <x v="1"/>
    <x v="0"/>
    <n v="503.40521310000003"/>
    <x v="218"/>
  </r>
  <r>
    <s v="haircare"/>
    <x v="219"/>
    <n v="80.55"/>
    <n v="76"/>
    <n v="692"/>
    <x v="15"/>
    <n v="92"/>
    <s v="High Risk"/>
    <n v="3"/>
    <x v="0"/>
    <x v="219"/>
    <x v="2"/>
    <s v="Michigan"/>
    <n v="21"/>
    <n v="797"/>
    <x v="13"/>
    <x v="219"/>
    <s v="Pass"/>
    <x v="219"/>
    <x v="2"/>
    <x v="2"/>
    <n v="501.941711"/>
    <x v="219"/>
  </r>
  <r>
    <s v="skincare"/>
    <x v="220"/>
    <n v="24.15"/>
    <n v="32"/>
    <n v="241"/>
    <x v="3"/>
    <n v="57"/>
    <s v="High Risk"/>
    <n v="7"/>
    <x v="1"/>
    <x v="220"/>
    <x v="3"/>
    <s v="Texas"/>
    <n v="14"/>
    <n v="952"/>
    <x v="3"/>
    <x v="220"/>
    <s v="Pending"/>
    <x v="220"/>
    <x v="2"/>
    <x v="2"/>
    <n v="511.88105439999998"/>
    <x v="220"/>
  </r>
  <r>
    <s v="skincare"/>
    <x v="221"/>
    <n v="20.55"/>
    <n v="5"/>
    <n v="215"/>
    <x v="4"/>
    <n v="49"/>
    <s v="High Risk"/>
    <n v="1"/>
    <x v="1"/>
    <x v="221"/>
    <x v="3"/>
    <s v="Texas"/>
    <n v="15"/>
    <n v="296"/>
    <x v="12"/>
    <x v="221"/>
    <s v="Fail"/>
    <x v="221"/>
    <x v="1"/>
    <x v="2"/>
    <n v="332.81359639999999"/>
    <x v="221"/>
  </r>
  <r>
    <s v="skincare"/>
    <x v="222"/>
    <n v="20.61"/>
    <n v="87"/>
    <n v="250"/>
    <x v="14"/>
    <n v="45"/>
    <s v="Low Risk"/>
    <n v="1"/>
    <x v="0"/>
    <x v="222"/>
    <x v="1"/>
    <s v="Alaska"/>
    <n v="17"/>
    <n v="877"/>
    <x v="7"/>
    <x v="222"/>
    <s v="Pending"/>
    <x v="222"/>
    <x v="0"/>
    <x v="2"/>
    <n v="744.00654459999998"/>
    <x v="222"/>
  </r>
  <r>
    <s v="skincare"/>
    <x v="223"/>
    <n v="82.38"/>
    <n v="18"/>
    <n v="810"/>
    <x v="20"/>
    <n v="82"/>
    <s v="High Risk"/>
    <n v="5"/>
    <x v="3"/>
    <x v="223"/>
    <x v="0"/>
    <s v="Alaska"/>
    <n v="1"/>
    <n v="873"/>
    <x v="2"/>
    <x v="223"/>
    <s v="Pending"/>
    <x v="223"/>
    <x v="0"/>
    <x v="0"/>
    <n v="749.41887350000002"/>
    <x v="223"/>
  </r>
  <r>
    <s v="skincare"/>
    <x v="224"/>
    <n v="68.19"/>
    <n v="79"/>
    <n v="125"/>
    <x v="11"/>
    <n v="66"/>
    <s v="Low Risk"/>
    <n v="5"/>
    <x v="1"/>
    <x v="224"/>
    <x v="0"/>
    <s v="Washington"/>
    <n v="25"/>
    <n v="859"/>
    <x v="13"/>
    <x v="224"/>
    <s v="Pending"/>
    <x v="224"/>
    <x v="2"/>
    <x v="1"/>
    <n v="354.15739910000002"/>
    <x v="224"/>
  </r>
  <r>
    <s v="skincare"/>
    <x v="225"/>
    <n v="54.69"/>
    <n v="39"/>
    <n v="993"/>
    <x v="27"/>
    <n v="77"/>
    <s v="High Risk"/>
    <n v="8"/>
    <x v="1"/>
    <x v="225"/>
    <x v="3"/>
    <s v="Washington"/>
    <n v="21"/>
    <n v="214"/>
    <x v="16"/>
    <x v="225"/>
    <s v="Pending"/>
    <x v="225"/>
    <x v="1"/>
    <x v="0"/>
    <n v="851.77581480000003"/>
    <x v="225"/>
  </r>
  <r>
    <s v="haircare"/>
    <x v="226"/>
    <n v="39.090000000000003"/>
    <n v="91"/>
    <n v="216"/>
    <x v="1"/>
    <n v="45"/>
    <s v="Low Risk"/>
    <n v="7"/>
    <x v="3"/>
    <x v="226"/>
    <x v="2"/>
    <s v="Texas"/>
    <n v="17"/>
    <n v="220"/>
    <x v="22"/>
    <x v="226"/>
    <s v="Pass"/>
    <x v="226"/>
    <x v="0"/>
    <x v="0"/>
    <n v="385.16044929999998"/>
    <x v="226"/>
  </r>
  <r>
    <s v="skincare"/>
    <x v="227"/>
    <n v="88.33"/>
    <n v="96"/>
    <n v="305"/>
    <x v="20"/>
    <n v="79"/>
    <s v="Low Risk"/>
    <n v="8"/>
    <x v="0"/>
    <x v="227"/>
    <x v="0"/>
    <s v="Arizona"/>
    <n v="23"/>
    <n v="752"/>
    <x v="10"/>
    <x v="227"/>
    <s v="Fail"/>
    <x v="227"/>
    <x v="0"/>
    <x v="2"/>
    <n v="752.58381159999999"/>
    <x v="227"/>
  </r>
  <r>
    <s v="haircare"/>
    <x v="228"/>
    <n v="42.28"/>
    <n v="58"/>
    <n v="796"/>
    <x v="2"/>
    <n v="20"/>
    <s v="Low Risk"/>
    <n v="6"/>
    <x v="0"/>
    <x v="228"/>
    <x v="4"/>
    <s v="Arizona"/>
    <n v="25"/>
    <n v="164"/>
    <x v="29"/>
    <x v="228"/>
    <s v="Pass"/>
    <x v="228"/>
    <x v="0"/>
    <x v="0"/>
    <n v="208.89979080000001"/>
    <x v="228"/>
  </r>
  <r>
    <s v="haircare"/>
    <x v="229"/>
    <n v="82.58"/>
    <n v="58"/>
    <n v="184"/>
    <x v="2"/>
    <n v="64"/>
    <s v="High Risk"/>
    <n v="6"/>
    <x v="3"/>
    <x v="229"/>
    <x v="3"/>
    <s v="Texas"/>
    <n v="11"/>
    <n v="375"/>
    <x v="10"/>
    <x v="229"/>
    <s v="Pass"/>
    <x v="229"/>
    <x v="0"/>
    <x v="0"/>
    <n v="251.8314785"/>
    <x v="229"/>
  </r>
  <r>
    <s v="skincare"/>
    <x v="230"/>
    <n v="46.72"/>
    <n v="47"/>
    <n v="38"/>
    <x v="27"/>
    <n v="93"/>
    <s v="High Risk"/>
    <n v="2"/>
    <x v="3"/>
    <x v="230"/>
    <x v="0"/>
    <s v="Washington"/>
    <n v="17"/>
    <n v="924"/>
    <x v="27"/>
    <x v="230"/>
    <s v="Fail"/>
    <x v="230"/>
    <x v="1"/>
    <x v="1"/>
    <n v="384.2160801"/>
    <x v="230"/>
  </r>
  <r>
    <s v="haircare"/>
    <x v="231"/>
    <n v="40.81"/>
    <n v="40"/>
    <n v="222"/>
    <x v="22"/>
    <n v="93"/>
    <s v="High Risk"/>
    <n v="6"/>
    <x v="1"/>
    <x v="231"/>
    <x v="2"/>
    <s v="Washington"/>
    <n v="26"/>
    <n v="338"/>
    <x v="18"/>
    <x v="231"/>
    <s v="Pending"/>
    <x v="231"/>
    <x v="1"/>
    <x v="1"/>
    <n v="634.48639089999995"/>
    <x v="231"/>
  </r>
  <r>
    <s v="skincare"/>
    <x v="232"/>
    <n v="48.95"/>
    <n v="12"/>
    <n v="183"/>
    <x v="1"/>
    <n v="67"/>
    <s v="High Risk"/>
    <n v="5"/>
    <x v="3"/>
    <x v="232"/>
    <x v="3"/>
    <s v="Arizona"/>
    <n v="14"/>
    <n v="401"/>
    <x v="7"/>
    <x v="232"/>
    <s v="Pending"/>
    <x v="232"/>
    <x v="1"/>
    <x v="2"/>
    <n v="680.96033690000002"/>
    <x v="232"/>
  </r>
  <r>
    <s v="skincare"/>
    <x v="233"/>
    <n v="33.630000000000003"/>
    <n v="44"/>
    <n v="494"/>
    <x v="15"/>
    <n v="83"/>
    <s v="High Risk"/>
    <n v="3"/>
    <x v="3"/>
    <x v="233"/>
    <x v="4"/>
    <s v="Michigan"/>
    <n v="29"/>
    <n v="491"/>
    <x v="8"/>
    <x v="233"/>
    <s v="Pass"/>
    <x v="233"/>
    <x v="2"/>
    <x v="0"/>
    <n v="456.7205548"/>
    <x v="233"/>
  </r>
  <r>
    <s v="skincare"/>
    <x v="234"/>
    <n v="76.02"/>
    <n v="88"/>
    <n v="426"/>
    <x v="5"/>
    <n v="3"/>
    <s v="Low Risk"/>
    <n v="6"/>
    <x v="3"/>
    <x v="234"/>
    <x v="2"/>
    <s v="Texas"/>
    <n v="20"/>
    <n v="621"/>
    <x v="7"/>
    <x v="234"/>
    <s v="Fail"/>
    <x v="234"/>
    <x v="1"/>
    <x v="2"/>
    <n v="170.05523779999999"/>
    <x v="234"/>
  </r>
  <r>
    <s v="haircare"/>
    <x v="235"/>
    <n v="52.76"/>
    <n v="52"/>
    <n v="177"/>
    <x v="13"/>
    <n v="54"/>
    <s v="High Risk"/>
    <n v="8"/>
    <x v="3"/>
    <x v="235"/>
    <x v="5"/>
    <s v="Arizona"/>
    <n v="30"/>
    <n v="468"/>
    <x v="11"/>
    <x v="235"/>
    <s v="Pass"/>
    <x v="235"/>
    <x v="0"/>
    <x v="0"/>
    <n v="436.27118689999998"/>
    <x v="235"/>
  </r>
  <r>
    <s v="haircare"/>
    <x v="236"/>
    <n v="27.06"/>
    <n v="41"/>
    <n v="918"/>
    <x v="19"/>
    <n v="78"/>
    <s v="High Risk"/>
    <n v="9"/>
    <x v="1"/>
    <x v="236"/>
    <x v="3"/>
    <s v="Texas"/>
    <n v="19"/>
    <n v="332"/>
    <x v="26"/>
    <x v="236"/>
    <s v="Pass"/>
    <x v="236"/>
    <x v="2"/>
    <x v="1"/>
    <n v="719.89076439999997"/>
    <x v="236"/>
  </r>
  <r>
    <s v="skincare"/>
    <x v="237"/>
    <n v="90.46"/>
    <n v="99"/>
    <n v="427"/>
    <x v="29"/>
    <n v="64"/>
    <s v="Low Risk"/>
    <n v="1"/>
    <x v="1"/>
    <x v="237"/>
    <x v="2"/>
    <s v="Arizona"/>
    <n v="21"/>
    <n v="294"/>
    <x v="23"/>
    <x v="237"/>
    <s v="Pass"/>
    <x v="237"/>
    <x v="2"/>
    <x v="2"/>
    <n v="703.89591499999995"/>
    <x v="237"/>
  </r>
  <r>
    <s v="haircare"/>
    <x v="238"/>
    <n v="41.47"/>
    <n v="62"/>
    <n v="293"/>
    <x v="24"/>
    <n v="40"/>
    <s v="Low Risk"/>
    <n v="3"/>
    <x v="1"/>
    <x v="238"/>
    <x v="3"/>
    <s v="Washington"/>
    <n v="7"/>
    <n v="111"/>
    <x v="17"/>
    <x v="238"/>
    <s v="Pending"/>
    <x v="238"/>
    <x v="0"/>
    <x v="2"/>
    <n v="244.17677190000001"/>
    <x v="238"/>
  </r>
  <r>
    <s v="skincare"/>
    <x v="239"/>
    <n v="56.64"/>
    <n v="26"/>
    <n v="851"/>
    <x v="21"/>
    <n v="59"/>
    <s v="High Risk"/>
    <n v="3"/>
    <x v="1"/>
    <x v="239"/>
    <x v="0"/>
    <s v="Texas"/>
    <n v="24"/>
    <n v="788"/>
    <x v="18"/>
    <x v="239"/>
    <s v="Pass"/>
    <x v="239"/>
    <x v="2"/>
    <x v="0"/>
    <n v="107.0055732"/>
    <x v="239"/>
  </r>
  <r>
    <s v="skincare"/>
    <x v="240"/>
    <n v="91.11"/>
    <n v="37"/>
    <n v="150"/>
    <x v="28"/>
    <n v="55"/>
    <s v="High Risk"/>
    <n v="8"/>
    <x v="1"/>
    <x v="240"/>
    <x v="4"/>
    <s v="Arizona"/>
    <n v="13"/>
    <n v="276"/>
    <x v="26"/>
    <x v="240"/>
    <s v="Pending"/>
    <x v="240"/>
    <x v="0"/>
    <x v="0"/>
    <n v="777.6834556"/>
    <x v="240"/>
  </r>
  <r>
    <s v="skincare"/>
    <x v="241"/>
    <n v="64.3"/>
    <n v="59"/>
    <n v="383"/>
    <x v="12"/>
    <n v="62"/>
    <s v="High Risk"/>
    <n v="1"/>
    <x v="2"/>
    <x v="241"/>
    <x v="4"/>
    <s v="Alaska"/>
    <n v="18"/>
    <n v="316"/>
    <x v="26"/>
    <x v="241"/>
    <s v="Pass"/>
    <x v="241"/>
    <x v="0"/>
    <x v="0"/>
    <n v="195.73134970000001"/>
    <x v="241"/>
  </r>
  <r>
    <s v="haircare"/>
    <x v="242"/>
    <n v="16.11"/>
    <n v="6"/>
    <n v="637"/>
    <x v="7"/>
    <n v="4"/>
    <s v="Low Risk"/>
    <n v="5"/>
    <x v="3"/>
    <x v="242"/>
    <x v="2"/>
    <s v="Texas"/>
    <n v="23"/>
    <n v="110"/>
    <x v="4"/>
    <x v="242"/>
    <s v="Pending"/>
    <x v="242"/>
    <x v="0"/>
    <x v="2"/>
    <n v="174.11422959999999"/>
    <x v="242"/>
  </r>
  <r>
    <s v="haircare"/>
    <x v="243"/>
    <n v="94.28"/>
    <n v="4"/>
    <n v="812"/>
    <x v="29"/>
    <n v="60"/>
    <s v="High Risk"/>
    <n v="3"/>
    <x v="3"/>
    <x v="243"/>
    <x v="2"/>
    <s v="Alaska"/>
    <n v="30"/>
    <n v="545"/>
    <x v="21"/>
    <x v="243"/>
    <s v="Pending"/>
    <x v="243"/>
    <x v="1"/>
    <x v="2"/>
    <n v="102.4310952"/>
    <x v="243"/>
  </r>
  <r>
    <s v="skincare"/>
    <x v="244"/>
    <n v="64.63"/>
    <n v="44"/>
    <n v="307"/>
    <x v="19"/>
    <n v="75"/>
    <s v="High Risk"/>
    <n v="2"/>
    <x v="0"/>
    <x v="244"/>
    <x v="4"/>
    <s v="Arizona"/>
    <n v="14"/>
    <n v="729"/>
    <x v="21"/>
    <x v="244"/>
    <s v="Pending"/>
    <x v="244"/>
    <x v="0"/>
    <x v="2"/>
    <n v="489.34119340000001"/>
    <x v="244"/>
  </r>
  <r>
    <s v="haircare"/>
    <x v="245"/>
    <n v="36.82"/>
    <n v="57"/>
    <n v="335"/>
    <x v="26"/>
    <n v="95"/>
    <s v="High Risk"/>
    <n v="8"/>
    <x v="2"/>
    <x v="245"/>
    <x v="1"/>
    <s v="Washington"/>
    <n v="1"/>
    <n v="263"/>
    <x v="18"/>
    <x v="245"/>
    <s v="Pending"/>
    <x v="245"/>
    <x v="1"/>
    <x v="0"/>
    <n v="552.93751080000004"/>
    <x v="245"/>
  </r>
  <r>
    <s v="haircare"/>
    <x v="246"/>
    <n v="18.23"/>
    <n v="30"/>
    <n v="945"/>
    <x v="13"/>
    <n v="96"/>
    <s v="High Risk"/>
    <n v="3"/>
    <x v="3"/>
    <x v="246"/>
    <x v="1"/>
    <s v="Michigan"/>
    <n v="7"/>
    <n v="650"/>
    <x v="29"/>
    <x v="246"/>
    <s v="Pending"/>
    <x v="246"/>
    <x v="0"/>
    <x v="0"/>
    <n v="673.89764149999996"/>
    <x v="246"/>
  </r>
  <r>
    <s v="skincare"/>
    <x v="247"/>
    <n v="80.430000000000007"/>
    <n v="22"/>
    <n v="745"/>
    <x v="12"/>
    <n v="91"/>
    <s v="High Risk"/>
    <n v="7"/>
    <x v="0"/>
    <x v="247"/>
    <x v="2"/>
    <s v="Washington"/>
    <n v="8"/>
    <n v="152"/>
    <x v="15"/>
    <x v="247"/>
    <s v="Pending"/>
    <x v="247"/>
    <x v="1"/>
    <x v="0"/>
    <n v="366.4574566"/>
    <x v="247"/>
  </r>
  <r>
    <s v="skincare"/>
    <x v="248"/>
    <n v="63.91"/>
    <n v="41"/>
    <n v="891"/>
    <x v="6"/>
    <n v="30"/>
    <s v="Low Risk"/>
    <n v="1"/>
    <x v="3"/>
    <x v="248"/>
    <x v="4"/>
    <s v="Texas"/>
    <n v="18"/>
    <n v="317"/>
    <x v="5"/>
    <x v="248"/>
    <s v="Pending"/>
    <x v="248"/>
    <x v="1"/>
    <x v="2"/>
    <n v="739.3822447"/>
    <x v="248"/>
  </r>
  <r>
    <s v="skincare"/>
    <x v="249"/>
    <n v="55.68"/>
    <n v="9"/>
    <n v="374"/>
    <x v="5"/>
    <n v="2"/>
    <s v="Low Risk"/>
    <n v="6"/>
    <x v="1"/>
    <x v="249"/>
    <x v="1"/>
    <s v="Washington"/>
    <n v="9"/>
    <n v="817"/>
    <x v="25"/>
    <x v="249"/>
    <s v="Pass"/>
    <x v="249"/>
    <x v="1"/>
    <x v="0"/>
    <n v="252.39867169999999"/>
    <x v="249"/>
  </r>
  <r>
    <s v="skincare"/>
    <x v="250"/>
    <n v="89.92"/>
    <n v="31"/>
    <n v="7"/>
    <x v="4"/>
    <n v="62"/>
    <s v="High Risk"/>
    <n v="3"/>
    <x v="3"/>
    <x v="250"/>
    <x v="3"/>
    <s v="Alaska"/>
    <n v="1"/>
    <n v="923"/>
    <x v="10"/>
    <x v="250"/>
    <s v="Pass"/>
    <x v="250"/>
    <x v="1"/>
    <x v="0"/>
    <n v="848.7910478"/>
    <x v="250"/>
  </r>
  <r>
    <s v="haircare"/>
    <x v="251"/>
    <n v="79.92"/>
    <n v="52"/>
    <n v="340"/>
    <x v="12"/>
    <n v="49"/>
    <s v="Low Risk"/>
    <n v="8"/>
    <x v="0"/>
    <x v="251"/>
    <x v="1"/>
    <s v="Michigan"/>
    <n v="29"/>
    <n v="459"/>
    <x v="18"/>
    <x v="251"/>
    <s v="Pass"/>
    <x v="251"/>
    <x v="0"/>
    <x v="1"/>
    <n v="614.66349600000001"/>
    <x v="251"/>
  </r>
  <r>
    <s v="skincare"/>
    <x v="252"/>
    <n v="19.41"/>
    <n v="29"/>
    <n v="128"/>
    <x v="25"/>
    <n v="9"/>
    <s v="Low Risk"/>
    <n v="6"/>
    <x v="0"/>
    <x v="252"/>
    <x v="2"/>
    <s v="Arizona"/>
    <n v="22"/>
    <n v="484"/>
    <x v="23"/>
    <x v="252"/>
    <s v="Fail"/>
    <x v="252"/>
    <x v="2"/>
    <x v="2"/>
    <n v="625.50084100000004"/>
    <x v="252"/>
  </r>
  <r>
    <s v="NaN"/>
    <x v="253"/>
    <n v="34.61"/>
    <n v="38"/>
    <n v="775"/>
    <x v="14"/>
    <n v="92"/>
    <s v="High Risk"/>
    <n v="2"/>
    <x v="1"/>
    <x v="253"/>
    <x v="1"/>
    <s v="Alaska"/>
    <n v="17"/>
    <n v="155"/>
    <x v="23"/>
    <x v="253"/>
    <s v="Fail"/>
    <x v="253"/>
    <x v="2"/>
    <x v="2"/>
    <n v="288.79787240000002"/>
    <x v="253"/>
  </r>
  <r>
    <s v="haircare"/>
    <x v="254"/>
    <n v="28.61"/>
    <n v="30"/>
    <n v="668"/>
    <x v="7"/>
    <n v="31"/>
    <s v="High Risk"/>
    <n v="6"/>
    <x v="1"/>
    <x v="254"/>
    <x v="0"/>
    <s v="Washington"/>
    <n v="19"/>
    <n v="217"/>
    <x v="0"/>
    <x v="254"/>
    <s v="Pending"/>
    <x v="254"/>
    <x v="0"/>
    <x v="0"/>
    <n v="166.69787439999999"/>
    <x v="254"/>
  </r>
  <r>
    <s v="skincare"/>
    <x v="255"/>
    <n v="75.67"/>
    <n v="81"/>
    <n v="351"/>
    <x v="13"/>
    <n v="98"/>
    <s v="High Risk"/>
    <n v="7"/>
    <x v="3"/>
    <x v="255"/>
    <x v="1"/>
    <s v="Texas"/>
    <n v="27"/>
    <n v="999"/>
    <x v="28"/>
    <x v="255"/>
    <s v="Pending"/>
    <x v="255"/>
    <x v="0"/>
    <x v="0"/>
    <n v="518.2523228"/>
    <x v="255"/>
  </r>
  <r>
    <s v="skincare"/>
    <x v="256"/>
    <n v="8.19"/>
    <n v="99"/>
    <n v="357"/>
    <x v="24"/>
    <n v="61"/>
    <s v="Low Risk"/>
    <n v="5"/>
    <x v="1"/>
    <x v="256"/>
    <x v="0"/>
    <s v="Michigan"/>
    <n v="6"/>
    <n v="352"/>
    <x v="26"/>
    <x v="256"/>
    <s v="Fail"/>
    <x v="256"/>
    <x v="1"/>
    <x v="1"/>
    <n v="654.05075669999997"/>
    <x v="256"/>
  </r>
  <r>
    <s v="skincare"/>
    <x v="257"/>
    <n v="59.14"/>
    <n v="1"/>
    <n v="516"/>
    <x v="27"/>
    <n v="79"/>
    <s v="High Risk"/>
    <n v="3"/>
    <x v="3"/>
    <x v="257"/>
    <x v="3"/>
    <s v="Arizona"/>
    <n v="3"/>
    <n v="897"/>
    <x v="20"/>
    <x v="257"/>
    <s v="Fail"/>
    <x v="257"/>
    <x v="2"/>
    <x v="1"/>
    <n v="185.5418128"/>
    <x v="257"/>
  </r>
  <r>
    <s v="skincare"/>
    <x v="258"/>
    <n v="77.430000000000007"/>
    <n v="77"/>
    <n v="494"/>
    <x v="1"/>
    <n v="48"/>
    <s v="Low Risk"/>
    <n v="4"/>
    <x v="0"/>
    <x v="258"/>
    <x v="1"/>
    <s v="Washington"/>
    <n v="24"/>
    <n v="879"/>
    <x v="6"/>
    <x v="258"/>
    <s v="nan"/>
    <x v="258"/>
    <x v="2"/>
    <x v="1"/>
    <n v="955.48102710000001"/>
    <x v="258"/>
  </r>
  <r>
    <s v="skincare"/>
    <x v="259"/>
    <n v="88.29"/>
    <n v="76"/>
    <n v="85"/>
    <x v="0"/>
    <n v="25"/>
    <s v="Low Risk"/>
    <n v="4"/>
    <x v="0"/>
    <x v="259"/>
    <x v="3"/>
    <s v="Texas"/>
    <n v="5"/>
    <n v="902"/>
    <x v="15"/>
    <x v="259"/>
    <s v="Pass"/>
    <x v="259"/>
    <x v="1"/>
    <x v="2"/>
    <n v="982.37292420000006"/>
    <x v="259"/>
  </r>
  <r>
    <s v="haircare"/>
    <x v="260"/>
    <n v="37.5"/>
    <n v="92"/>
    <n v="174"/>
    <x v="2"/>
    <n v="36"/>
    <s v="Low Risk"/>
    <n v="6"/>
    <x v="0"/>
    <x v="260"/>
    <x v="3"/>
    <s v="Alaska"/>
    <n v="2"/>
    <n v="944"/>
    <x v="24"/>
    <x v="260"/>
    <s v="Pending"/>
    <x v="260"/>
    <x v="1"/>
    <x v="2"/>
    <n v="590.91102590000003"/>
    <x v="260"/>
  </r>
  <r>
    <s v="haircare"/>
    <x v="261"/>
    <n v="83.02"/>
    <n v="11"/>
    <n v="801"/>
    <x v="25"/>
    <n v="8"/>
    <s v="Low Risk"/>
    <n v="1"/>
    <x v="0"/>
    <x v="261"/>
    <x v="0"/>
    <s v="Washington"/>
    <n v="20"/>
    <n v="279"/>
    <x v="15"/>
    <x v="261"/>
    <s v="Pass"/>
    <x v="261"/>
    <x v="1"/>
    <x v="0"/>
    <n v="955.06223969999996"/>
    <x v="261"/>
  </r>
  <r>
    <s v="skincare"/>
    <x v="262"/>
    <n v="15.51"/>
    <n v="38"/>
    <n v="192"/>
    <x v="12"/>
    <n v="73"/>
    <s v="High Risk"/>
    <n v="4"/>
    <x v="3"/>
    <x v="262"/>
    <x v="0"/>
    <s v="Texas"/>
    <n v="25"/>
    <n v="514"/>
    <x v="14"/>
    <x v="262"/>
    <s v="Pending"/>
    <x v="262"/>
    <x v="1"/>
    <x v="0"/>
    <n v="261.50071380000003"/>
    <x v="262"/>
  </r>
  <r>
    <s v="skincare"/>
    <x v="263"/>
    <n v="85.41"/>
    <n v="65"/>
    <n v="310"/>
    <x v="7"/>
    <n v="58"/>
    <s v="Low Risk"/>
    <n v="4"/>
    <x v="0"/>
    <x v="263"/>
    <x v="1"/>
    <s v="Texas"/>
    <n v="4"/>
    <n v="969"/>
    <x v="9"/>
    <x v="263"/>
    <s v="Pass"/>
    <x v="263"/>
    <x v="0"/>
    <x v="0"/>
    <n v="122.87861669999999"/>
    <x v="263"/>
  </r>
  <r>
    <s v="skincare"/>
    <x v="264"/>
    <n v="17.11"/>
    <n v="95"/>
    <n v="118"/>
    <x v="17"/>
    <n v="45"/>
    <s v="Low Risk"/>
    <n v="1"/>
    <x v="3"/>
    <x v="264"/>
    <x v="3"/>
    <s v="Texas"/>
    <n v="10"/>
    <n v="334"/>
    <x v="1"/>
    <x v="264"/>
    <s v="Pending"/>
    <x v="264"/>
    <x v="2"/>
    <x v="1"/>
    <n v="135.46858180000001"/>
    <x v="264"/>
  </r>
  <r>
    <s v="skincare"/>
    <x v="265"/>
    <n v="42.74"/>
    <n v="12"/>
    <n v="217"/>
    <x v="24"/>
    <n v="62"/>
    <s v="High Risk"/>
    <n v="9"/>
    <x v="1"/>
    <x v="265"/>
    <x v="1"/>
    <s v="Alaska"/>
    <n v="10"/>
    <n v="954"/>
    <x v="25"/>
    <x v="265"/>
    <s v="Fail"/>
    <x v="265"/>
    <x v="1"/>
    <x v="1"/>
    <n v="628.76123150000001"/>
    <x v="265"/>
  </r>
  <r>
    <s v="skincare"/>
    <x v="266"/>
    <n v="80.739999999999995"/>
    <n v="45"/>
    <n v="426"/>
    <x v="10"/>
    <n v="39"/>
    <s v="Low Risk"/>
    <n v="4"/>
    <x v="1"/>
    <x v="266"/>
    <x v="0"/>
    <s v="Michigan"/>
    <n v="24"/>
    <n v="807"/>
    <x v="26"/>
    <x v="266"/>
    <s v="Pass"/>
    <x v="266"/>
    <x v="1"/>
    <x v="2"/>
    <n v="155.47769510000001"/>
    <x v="266"/>
  </r>
  <r>
    <s v="skincare"/>
    <x v="267"/>
    <n v="19.239999999999998"/>
    <n v="26"/>
    <n v="969"/>
    <x v="3"/>
    <n v="96"/>
    <s v="High Risk"/>
    <n v="7"/>
    <x v="1"/>
    <x v="267"/>
    <x v="2"/>
    <s v="Michigan"/>
    <n v="21"/>
    <n v="919"/>
    <x v="27"/>
    <x v="267"/>
    <s v="Pass"/>
    <x v="267"/>
    <x v="1"/>
    <x v="2"/>
    <n v="962.69104609999999"/>
    <x v="267"/>
  </r>
  <r>
    <s v="skincare"/>
    <x v="268"/>
    <n v="26.78"/>
    <n v="16"/>
    <n v="413"/>
    <x v="8"/>
    <n v="58"/>
    <s v="High Risk"/>
    <n v="3"/>
    <x v="3"/>
    <x v="268"/>
    <x v="3"/>
    <s v="New York"/>
    <n v="11"/>
    <n v="179"/>
    <x v="3"/>
    <x v="268"/>
    <s v="Fail"/>
    <x v="268"/>
    <x v="2"/>
    <x v="0"/>
    <n v="227.73988969999999"/>
    <x v="268"/>
  </r>
  <r>
    <s v="skincare"/>
    <x v="269"/>
    <n v="73.61"/>
    <n v="94"/>
    <n v="113"/>
    <x v="13"/>
    <n v="81"/>
    <s v="Low Risk"/>
    <n v="3"/>
    <x v="3"/>
    <x v="269"/>
    <x v="3"/>
    <s v="Alaska"/>
    <n v="27"/>
    <n v="746"/>
    <x v="28"/>
    <x v="269"/>
    <s v="Pending"/>
    <x v="269"/>
    <x v="1"/>
    <x v="2"/>
    <n v="374.25052540000001"/>
    <x v="269"/>
  </r>
  <r>
    <s v="skincare"/>
    <x v="270"/>
    <n v="73.400000000000006"/>
    <n v="97"/>
    <n v="977"/>
    <x v="23"/>
    <n v="99"/>
    <s v="High Risk"/>
    <n v="8"/>
    <x v="0"/>
    <x v="270"/>
    <x v="3"/>
    <s v="Alaska"/>
    <n v="16"/>
    <n v="121"/>
    <x v="8"/>
    <x v="270"/>
    <s v="Pending"/>
    <x v="270"/>
    <x v="0"/>
    <x v="2"/>
    <n v="840.26602179999998"/>
    <x v="270"/>
  </r>
  <r>
    <s v="skincare"/>
    <x v="271"/>
    <n v="65.91"/>
    <n v="59"/>
    <n v="144"/>
    <x v="22"/>
    <n v="83"/>
    <s v="High Risk"/>
    <n v="8"/>
    <x v="1"/>
    <x v="271"/>
    <x v="5"/>
    <s v="Alaska"/>
    <n v="26"/>
    <n v="576"/>
    <x v="12"/>
    <x v="271"/>
    <s v="Fail"/>
    <x v="271"/>
    <x v="0"/>
    <x v="1"/>
    <n v="296.8662908"/>
    <x v="271"/>
  </r>
  <r>
    <s v="skincare"/>
    <x v="272"/>
    <n v="70.930000000000007"/>
    <n v="63"/>
    <n v="537"/>
    <x v="25"/>
    <n v="64"/>
    <s v="High Risk"/>
    <n v="1"/>
    <x v="1"/>
    <x v="272"/>
    <x v="0"/>
    <s v="Michigan"/>
    <n v="29"/>
    <n v="942"/>
    <x v="25"/>
    <x v="272"/>
    <s v="Fail"/>
    <x v="272"/>
    <x v="2"/>
    <x v="2"/>
    <n v="318.6716126"/>
    <x v="272"/>
  </r>
  <r>
    <s v="haircare"/>
    <x v="273"/>
    <n v="56.56"/>
    <n v="87"/>
    <n v="647"/>
    <x v="3"/>
    <n v="44"/>
    <s v="Low Risk"/>
    <n v="2"/>
    <x v="0"/>
    <x v="273"/>
    <x v="0"/>
    <s v="Alaska"/>
    <n v="29"/>
    <n v="539"/>
    <x v="16"/>
    <x v="273"/>
    <s v="Fail"/>
    <x v="273"/>
    <x v="2"/>
    <x v="0"/>
    <n v="678.07806019999998"/>
    <x v="273"/>
  </r>
  <r>
    <s v="haircare"/>
    <x v="274"/>
    <n v="28.92"/>
    <n v="34"/>
    <n v="302"/>
    <x v="10"/>
    <n v="29"/>
    <s v="Low Risk"/>
    <n v="8"/>
    <x v="1"/>
    <x v="274"/>
    <x v="5"/>
    <s v="Arizona"/>
    <n v="30"/>
    <n v="836"/>
    <x v="15"/>
    <x v="274"/>
    <s v="Pending"/>
    <x v="274"/>
    <x v="0"/>
    <x v="0"/>
    <n v="348.47747959999998"/>
    <x v="274"/>
  </r>
  <r>
    <s v="haircare"/>
    <x v="275"/>
    <n v="37.840000000000003"/>
    <n v="69"/>
    <n v="743"/>
    <x v="20"/>
    <n v="59"/>
    <s v="Low Risk"/>
    <n v="1"/>
    <x v="3"/>
    <x v="275"/>
    <x v="3"/>
    <s v="Alaska"/>
    <n v="17"/>
    <n v="669"/>
    <x v="27"/>
    <x v="275"/>
    <s v="Pending"/>
    <x v="275"/>
    <x v="2"/>
    <x v="1"/>
    <n v="295.70287059999998"/>
    <x v="275"/>
  </r>
  <r>
    <s v="skincare"/>
    <x v="276"/>
    <n v="22.25"/>
    <n v="82"/>
    <n v="880"/>
    <x v="4"/>
    <n v="71"/>
    <s v="Low Risk"/>
    <n v="8"/>
    <x v="3"/>
    <x v="276"/>
    <x v="1"/>
    <s v="Arizona"/>
    <n v="16"/>
    <n v="192"/>
    <x v="15"/>
    <x v="276"/>
    <s v="Fail"/>
    <x v="276"/>
    <x v="0"/>
    <x v="2"/>
    <n v="328.7599429"/>
    <x v="276"/>
  </r>
  <r>
    <s v="haircare"/>
    <x v="277"/>
    <n v="91.3"/>
    <n v="29"/>
    <n v="587"/>
    <x v="20"/>
    <n v="92"/>
    <s v="High Risk"/>
    <n v="8"/>
    <x v="3"/>
    <x v="277"/>
    <x v="4"/>
    <s v="Washington"/>
    <n v="7"/>
    <n v="291"/>
    <x v="9"/>
    <x v="277"/>
    <s v="Pending"/>
    <x v="277"/>
    <x v="2"/>
    <x v="2"/>
    <n v="541.58274940000001"/>
    <x v="277"/>
  </r>
  <r>
    <s v="haircare"/>
    <x v="278"/>
    <n v="60.42"/>
    <n v="70"/>
    <n v="986"/>
    <x v="2"/>
    <n v="9"/>
    <s v="Low Risk"/>
    <n v="2"/>
    <x v="1"/>
    <x v="278"/>
    <x v="1"/>
    <s v="Texas"/>
    <n v="16"/>
    <n v="202"/>
    <x v="13"/>
    <x v="278"/>
    <s v="Pending"/>
    <x v="278"/>
    <x v="1"/>
    <x v="1"/>
    <n v="969.48988550000001"/>
    <x v="278"/>
  </r>
  <r>
    <s v="skincare"/>
    <x v="279"/>
    <n v="43.08"/>
    <n v="73"/>
    <n v="839"/>
    <x v="25"/>
    <n v="92"/>
    <s v="High Risk"/>
    <n v="4"/>
    <x v="1"/>
    <x v="279"/>
    <x v="2"/>
    <s v="Arizona"/>
    <n v="3"/>
    <n v="495"/>
    <x v="21"/>
    <x v="279"/>
    <s v="Pending"/>
    <x v="279"/>
    <x v="1"/>
    <x v="0"/>
    <n v="849.01414739999996"/>
    <x v="279"/>
  </r>
  <r>
    <s v="haircare"/>
    <x v="280"/>
    <n v="48.89"/>
    <n v="95"/>
    <n v="344"/>
    <x v="16"/>
    <n v="6"/>
    <s v="Low Risk"/>
    <n v="6"/>
    <x v="1"/>
    <x v="280"/>
    <x v="1"/>
    <s v="Washington"/>
    <n v="26"/>
    <n v="106"/>
    <x v="24"/>
    <x v="280"/>
    <s v="Pending"/>
    <x v="280"/>
    <x v="0"/>
    <x v="1"/>
    <n v="356.14923809999999"/>
    <x v="280"/>
  </r>
  <r>
    <s v="skincare"/>
    <x v="281"/>
    <n v="94.99"/>
    <n v="97"/>
    <n v="813"/>
    <x v="14"/>
    <n v="29"/>
    <s v="Low Risk"/>
    <n v="9"/>
    <x v="3"/>
    <x v="281"/>
    <x v="3"/>
    <s v="Arizona"/>
    <n v="16"/>
    <n v="739"/>
    <x v="29"/>
    <x v="281"/>
    <s v="Pending"/>
    <x v="281"/>
    <x v="2"/>
    <x v="2"/>
    <n v="427.03588760000002"/>
    <x v="281"/>
  </r>
  <r>
    <s v="haircare"/>
    <x v="282"/>
    <n v="19.57"/>
    <n v="62"/>
    <n v="963"/>
    <x v="22"/>
    <n v="58"/>
    <s v="Low Risk"/>
    <n v="8"/>
    <x v="3"/>
    <x v="282"/>
    <x v="3"/>
    <s v="Michigan"/>
    <n v="8"/>
    <n v="666"/>
    <x v="22"/>
    <x v="282"/>
    <s v="Pending"/>
    <x v="282"/>
    <x v="1"/>
    <x v="0"/>
    <n v="518.06102550000003"/>
    <x v="282"/>
  </r>
  <r>
    <s v="haircare"/>
    <x v="283"/>
    <n v="60.69"/>
    <n v="27"/>
    <n v="800"/>
    <x v="16"/>
    <n v="17"/>
    <s v="Low Risk"/>
    <n v="8"/>
    <x v="1"/>
    <x v="283"/>
    <x v="0"/>
    <s v="Arizona"/>
    <n v="30"/>
    <n v="330"/>
    <x v="5"/>
    <x v="283"/>
    <s v="Pass"/>
    <x v="283"/>
    <x v="2"/>
    <x v="2"/>
    <n v="981.03668230000005"/>
    <x v="283"/>
  </r>
  <r>
    <s v="skincare"/>
    <x v="284"/>
    <n v="53.06"/>
    <n v="59"/>
    <n v="0"/>
    <x v="14"/>
    <n v="16"/>
    <s v="Low Risk"/>
    <n v="7"/>
    <x v="3"/>
    <x v="284"/>
    <x v="4"/>
    <s v="Texas"/>
    <n v="12"/>
    <n v="973"/>
    <x v="28"/>
    <x v="284"/>
    <s v="Pending"/>
    <x v="284"/>
    <x v="2"/>
    <x v="0"/>
    <n v="255.1514215"/>
    <x v="284"/>
  </r>
  <r>
    <s v="haircare"/>
    <x v="285"/>
    <n v="6.72"/>
    <n v="93"/>
    <n v="286"/>
    <x v="18"/>
    <n v="95"/>
    <s v="High Risk"/>
    <n v="2"/>
    <x v="1"/>
    <x v="285"/>
    <x v="4"/>
    <s v="Washington"/>
    <n v="17"/>
    <n v="339"/>
    <x v="15"/>
    <x v="285"/>
    <s v="Pass"/>
    <x v="285"/>
    <x v="1"/>
    <x v="1"/>
    <n v="756.4834846"/>
    <x v="285"/>
  </r>
  <r>
    <s v="skincare"/>
    <x v="286"/>
    <n v="87.85"/>
    <n v="36"/>
    <n v="975"/>
    <x v="0"/>
    <n v="3"/>
    <s v="Low Risk"/>
    <n v="3"/>
    <x v="3"/>
    <x v="286"/>
    <x v="0"/>
    <s v="Alaska"/>
    <n v="21"/>
    <n v="189"/>
    <x v="18"/>
    <x v="286"/>
    <s v="Fail"/>
    <x v="286"/>
    <x v="0"/>
    <x v="1"/>
    <n v="967.54936080000004"/>
    <x v="286"/>
  </r>
  <r>
    <s v="skincare"/>
    <x v="287"/>
    <n v="93.55"/>
    <n v="92"/>
    <n v="653"/>
    <x v="6"/>
    <n v="21"/>
    <s v="Low Risk"/>
    <n v="8"/>
    <x v="0"/>
    <x v="287"/>
    <x v="3"/>
    <s v="Washington"/>
    <n v="18"/>
    <n v="331"/>
    <x v="10"/>
    <x v="287"/>
    <s v="Pending"/>
    <x v="287"/>
    <x v="2"/>
    <x v="1"/>
    <n v="240.10769149999999"/>
    <x v="287"/>
  </r>
  <r>
    <s v="haircare"/>
    <x v="288"/>
    <n v="58.69"/>
    <n v="21"/>
    <n v="52"/>
    <x v="15"/>
    <n v="64"/>
    <s v="High Risk"/>
    <n v="6"/>
    <x v="1"/>
    <x v="288"/>
    <x v="2"/>
    <s v="Washington"/>
    <n v="11"/>
    <n v="556"/>
    <x v="21"/>
    <x v="288"/>
    <s v="Pass"/>
    <x v="288"/>
    <x v="2"/>
    <x v="0"/>
    <n v="304.6419588"/>
    <x v="288"/>
  </r>
  <r>
    <s v="skincare"/>
    <x v="289"/>
    <n v="71.180000000000007"/>
    <n v="67"/>
    <n v="303"/>
    <x v="9"/>
    <n v="90"/>
    <s v="High Risk"/>
    <n v="9"/>
    <x v="1"/>
    <x v="289"/>
    <x v="3"/>
    <s v="Washington"/>
    <n v="4"/>
    <n v="332"/>
    <x v="14"/>
    <x v="289"/>
    <s v="Fail"/>
    <x v="289"/>
    <x v="2"/>
    <x v="1"/>
    <n v="303.12520699999999"/>
    <x v="289"/>
  </r>
  <r>
    <s v="haircare"/>
    <x v="290"/>
    <n v="92.64"/>
    <n v="19"/>
    <n v="68"/>
    <x v="24"/>
    <n v="36"/>
    <s v="High Risk"/>
    <n v="4"/>
    <x v="3"/>
    <x v="290"/>
    <x v="4"/>
    <s v="Michigan"/>
    <n v="16"/>
    <n v="453"/>
    <x v="19"/>
    <x v="290"/>
    <s v="Fail"/>
    <x v="290"/>
    <x v="0"/>
    <x v="0"/>
    <n v="118.8388265"/>
    <x v="290"/>
  </r>
  <r>
    <s v="haircare"/>
    <x v="291"/>
    <n v="72.19"/>
    <n v="95"/>
    <n v="360"/>
    <x v="16"/>
    <n v="86"/>
    <s v="Low Risk"/>
    <n v="8"/>
    <x v="0"/>
    <x v="291"/>
    <x v="2"/>
    <s v="Arizona"/>
    <n v="17"/>
    <n v="432"/>
    <x v="19"/>
    <x v="291"/>
    <s v="Pass"/>
    <x v="291"/>
    <x v="0"/>
    <x v="0"/>
    <n v="643.70406249999996"/>
    <x v="291"/>
  </r>
  <r>
    <s v="skincare"/>
    <x v="292"/>
    <n v="19.489999999999998"/>
    <n v="99"/>
    <n v="601"/>
    <x v="18"/>
    <n v="62"/>
    <s v="Low Risk"/>
    <n v="3"/>
    <x v="0"/>
    <x v="292"/>
    <x v="3"/>
    <s v="Washington"/>
    <n v="9"/>
    <n v="538"/>
    <x v="18"/>
    <x v="292"/>
    <s v="Pass"/>
    <x v="292"/>
    <x v="0"/>
    <x v="0"/>
    <n v="703.63276670000005"/>
    <x v="292"/>
  </r>
  <r>
    <s v="skincare"/>
    <x v="293"/>
    <n v="59.75"/>
    <n v="67"/>
    <n v="957"/>
    <x v="19"/>
    <n v="42"/>
    <s v="Low Risk"/>
    <n v="3"/>
    <x v="3"/>
    <x v="293"/>
    <x v="4"/>
    <s v="Washington"/>
    <n v="6"/>
    <n v="474"/>
    <x v="5"/>
    <x v="293"/>
    <s v="Pending"/>
    <x v="293"/>
    <x v="1"/>
    <x v="2"/>
    <n v="642.27330110000003"/>
    <x v="293"/>
  </r>
  <r>
    <s v="skincare"/>
    <x v="294"/>
    <n v="62.64"/>
    <n v="90"/>
    <n v="219"/>
    <x v="17"/>
    <n v="76"/>
    <s v="Low Risk"/>
    <n v="8"/>
    <x v="0"/>
    <x v="294"/>
    <x v="2"/>
    <s v="Texas"/>
    <n v="24"/>
    <n v="391"/>
    <x v="17"/>
    <x v="294"/>
    <s v="Pending"/>
    <x v="294"/>
    <x v="1"/>
    <x v="0"/>
    <n v="164.19069049999999"/>
    <x v="294"/>
  </r>
  <r>
    <s v="skincare"/>
    <x v="295"/>
    <n v="45.29"/>
    <n v="63"/>
    <n v="961"/>
    <x v="26"/>
    <n v="42"/>
    <s v="Low Risk"/>
    <n v="5"/>
    <x v="3"/>
    <x v="295"/>
    <x v="0"/>
    <s v="Alaska"/>
    <n v="27"/>
    <n v="444"/>
    <x v="24"/>
    <x v="295"/>
    <s v="Pass"/>
    <x v="295"/>
    <x v="1"/>
    <x v="3"/>
    <n v="162.3071132"/>
    <x v="295"/>
  </r>
  <r>
    <s v="NaN"/>
    <x v="296"/>
    <n v="74.959999999999994"/>
    <n v="16"/>
    <n v="703"/>
    <x v="9"/>
    <n v="61"/>
    <s v="High Risk"/>
    <n v="3"/>
    <x v="3"/>
    <x v="296"/>
    <x v="1"/>
    <s v="Washington"/>
    <n v="20"/>
    <n v="763"/>
    <x v="20"/>
    <x v="296"/>
    <s v="Pending"/>
    <x v="296"/>
    <x v="1"/>
    <x v="1"/>
    <n v="289.34789899999998"/>
    <x v="296"/>
  </r>
  <r>
    <s v="skincare"/>
    <x v="297"/>
    <n v="93.76"/>
    <n v="11"/>
    <n v="965"/>
    <x v="12"/>
    <n v="13"/>
    <s v="High Risk"/>
    <n v="1"/>
    <x v="3"/>
    <x v="297"/>
    <x v="2"/>
    <s v="Washington"/>
    <n v="25"/>
    <n v="527"/>
    <x v="14"/>
    <x v="297"/>
    <s v="Pending"/>
    <x v="297"/>
    <x v="0"/>
    <x v="0"/>
    <n v="361.26506410000002"/>
    <x v="297"/>
  </r>
  <r>
    <s v="haircare"/>
    <x v="298"/>
    <n v="92.93"/>
    <n v="21"/>
    <n v="574"/>
    <x v="5"/>
    <n v="11"/>
    <s v="Low Risk"/>
    <n v="3"/>
    <x v="1"/>
    <x v="298"/>
    <x v="0"/>
    <s v="Arizona"/>
    <n v="2"/>
    <n v="756"/>
    <x v="1"/>
    <x v="298"/>
    <s v="Fail"/>
    <x v="298"/>
    <x v="1"/>
    <x v="0"/>
    <n v="807.88929029999997"/>
    <x v="298"/>
  </r>
  <r>
    <s v="skincare"/>
    <x v="299"/>
    <n v="47.83"/>
    <n v="16"/>
    <n v="584"/>
    <x v="24"/>
    <n v="54"/>
    <s v="High Risk"/>
    <n v="9"/>
    <x v="0"/>
    <x v="299"/>
    <x v="0"/>
    <s v="Arizona"/>
    <n v="9"/>
    <n v="229"/>
    <x v="28"/>
    <x v="299"/>
    <s v="Pending"/>
    <x v="299"/>
    <x v="2"/>
    <x v="0"/>
    <n v="243.4512392"/>
    <x v="299"/>
  </r>
  <r>
    <s v="haircare"/>
    <x v="300"/>
    <n v="15.76"/>
    <n v="9"/>
    <n v="160"/>
    <x v="0"/>
    <n v="16"/>
    <s v="High Risk"/>
    <n v="5"/>
    <x v="3"/>
    <x v="300"/>
    <x v="4"/>
    <s v="Alaska"/>
    <n v="28"/>
    <n v="240"/>
    <x v="25"/>
    <x v="300"/>
    <s v="Pending"/>
    <x v="300"/>
    <x v="2"/>
    <x v="2"/>
    <n v="139.68299479999999"/>
    <x v="300"/>
  </r>
  <r>
    <s v="haircare"/>
    <x v="301"/>
    <n v="98.56"/>
    <n v="64"/>
    <n v="680"/>
    <x v="12"/>
    <n v="8"/>
    <s v="Low Risk"/>
    <n v="2"/>
    <x v="3"/>
    <x v="301"/>
    <x v="0"/>
    <s v="Texas"/>
    <n v="21"/>
    <n v="514"/>
    <x v="25"/>
    <x v="301"/>
    <s v="Fail"/>
    <x v="301"/>
    <x v="1"/>
    <x v="0"/>
    <n v="454.58875690000002"/>
    <x v="301"/>
  </r>
  <r>
    <s v="haircare"/>
    <x v="302"/>
    <n v="84.7"/>
    <n v="21"/>
    <n v="88"/>
    <x v="27"/>
    <n v="59"/>
    <s v="High Risk"/>
    <n v="7"/>
    <x v="0"/>
    <x v="302"/>
    <x v="4"/>
    <s v="Michigan"/>
    <n v="29"/>
    <n v="192"/>
    <x v="1"/>
    <x v="302"/>
    <s v="Pass"/>
    <x v="302"/>
    <x v="1"/>
    <x v="0"/>
    <n v="474.75295310000001"/>
    <x v="302"/>
  </r>
  <r>
    <s v="haircare"/>
    <x v="303"/>
    <n v="16.84"/>
    <n v="89"/>
    <n v="687"/>
    <x v="9"/>
    <n v="57"/>
    <s v="Low Risk"/>
    <n v="2"/>
    <x v="1"/>
    <x v="303"/>
    <x v="4"/>
    <s v="Texas"/>
    <n v="6"/>
    <n v="725"/>
    <x v="23"/>
    <x v="303"/>
    <s v="Pending"/>
    <x v="303"/>
    <x v="1"/>
    <x v="0"/>
    <n v="505.81660440000002"/>
    <x v="303"/>
  </r>
  <r>
    <s v="skincare"/>
    <x v="304"/>
    <n v="92.48"/>
    <n v="81"/>
    <n v="780"/>
    <x v="22"/>
    <n v="40"/>
    <s v="Low Risk"/>
    <n v="4"/>
    <x v="1"/>
    <x v="304"/>
    <x v="2"/>
    <s v="Texas"/>
    <n v="3"/>
    <n v="383"/>
    <x v="27"/>
    <x v="304"/>
    <s v="Fail"/>
    <x v="304"/>
    <x v="0"/>
    <x v="3"/>
    <n v="844.21318959999996"/>
    <x v="304"/>
  </r>
  <r>
    <s v="skincare"/>
    <x v="305"/>
    <n v="87.64"/>
    <n v="49"/>
    <n v="584"/>
    <x v="0"/>
    <n v="59"/>
    <s v="High Risk"/>
    <n v="7"/>
    <x v="1"/>
    <x v="305"/>
    <x v="0"/>
    <s v="Texas"/>
    <n v="20"/>
    <n v="754"/>
    <x v="1"/>
    <x v="305"/>
    <s v="Pass"/>
    <x v="305"/>
    <x v="1"/>
    <x v="2"/>
    <n v="188.2048734"/>
    <x v="305"/>
  </r>
  <r>
    <s v="skincare"/>
    <x v="306"/>
    <n v="54.29"/>
    <n v="13"/>
    <n v="756"/>
    <x v="19"/>
    <n v="2"/>
    <s v="Low Risk"/>
    <n v="4"/>
    <x v="0"/>
    <x v="306"/>
    <x v="0"/>
    <s v="Alaska"/>
    <n v="6"/>
    <n v="322"/>
    <x v="21"/>
    <x v="306"/>
    <s v="Fail"/>
    <x v="306"/>
    <x v="1"/>
    <x v="1"/>
    <n v="733.54787420000002"/>
    <x v="306"/>
  </r>
  <r>
    <s v="haircare"/>
    <x v="307"/>
    <n v="61.17"/>
    <n v="63"/>
    <n v="588"/>
    <x v="7"/>
    <n v="94"/>
    <s v="High Risk"/>
    <n v="7"/>
    <x v="0"/>
    <x v="307"/>
    <x v="2"/>
    <s v="Washington"/>
    <n v="7"/>
    <n v="843"/>
    <x v="29"/>
    <x v="307"/>
    <s v="Fail"/>
    <x v="307"/>
    <x v="2"/>
    <x v="1"/>
    <n v="404.15101390000001"/>
    <x v="307"/>
  </r>
  <r>
    <s v="haircare"/>
    <x v="308"/>
    <n v="42.91"/>
    <n v="46"/>
    <n v="158"/>
    <x v="19"/>
    <n v="94"/>
    <s v="High Risk"/>
    <n v="7"/>
    <x v="3"/>
    <x v="308"/>
    <x v="3"/>
    <s v="Michigan"/>
    <n v="1"/>
    <n v="562"/>
    <x v="4"/>
    <x v="308"/>
    <s v="Pending"/>
    <x v="308"/>
    <x v="0"/>
    <x v="2"/>
    <n v="378.98212280000001"/>
    <x v="308"/>
  </r>
  <r>
    <s v="haircare"/>
    <x v="309"/>
    <n v="10.199999999999999"/>
    <n v="28"/>
    <n v="488"/>
    <x v="29"/>
    <n v="76"/>
    <s v="High Risk"/>
    <n v="1"/>
    <x v="0"/>
    <x v="309"/>
    <x v="5"/>
    <s v="Arizona"/>
    <n v="23"/>
    <n v="644"/>
    <x v="15"/>
    <x v="309"/>
    <s v="Fail"/>
    <x v="309"/>
    <x v="0"/>
    <x v="3"/>
    <n v="939.28881349999995"/>
    <x v="309"/>
  </r>
  <r>
    <s v="haircare"/>
    <x v="310"/>
    <n v="36.840000000000003"/>
    <n v="75"/>
    <n v="970"/>
    <x v="3"/>
    <n v="10"/>
    <s v="Low Risk"/>
    <n v="6"/>
    <x v="3"/>
    <x v="310"/>
    <x v="4"/>
    <s v="Michigan"/>
    <n v="1"/>
    <n v="375"/>
    <x v="3"/>
    <x v="310"/>
    <s v="Pass"/>
    <x v="310"/>
    <x v="1"/>
    <x v="1"/>
    <n v="323.62167199999999"/>
    <x v="310"/>
  </r>
  <r>
    <s v="skincare"/>
    <x v="311"/>
    <n v="81.27"/>
    <n v="35"/>
    <n v="323"/>
    <x v="7"/>
    <n v="44"/>
    <s v="High Risk"/>
    <n v="9"/>
    <x v="0"/>
    <x v="311"/>
    <x v="4"/>
    <s v="Arizona"/>
    <n v="5"/>
    <n v="781"/>
    <x v="13"/>
    <x v="311"/>
    <s v="Pending"/>
    <x v="311"/>
    <x v="2"/>
    <x v="0"/>
    <n v="678.27865180000003"/>
    <x v="311"/>
  </r>
  <r>
    <s v="skincare"/>
    <x v="312"/>
    <n v="5.44"/>
    <n v="98"/>
    <n v="609"/>
    <x v="11"/>
    <n v="11"/>
    <s v="Low Risk"/>
    <n v="2"/>
    <x v="3"/>
    <x v="312"/>
    <x v="1"/>
    <s v="New York"/>
    <n v="6"/>
    <n v="239"/>
    <x v="18"/>
    <x v="312"/>
    <s v="Fail"/>
    <x v="312"/>
    <x v="2"/>
    <x v="2"/>
    <n v="347.61498160000002"/>
    <x v="312"/>
  </r>
  <r>
    <s v="skincare"/>
    <x v="313"/>
    <n v="36.68"/>
    <n v="51"/>
    <n v="380"/>
    <x v="18"/>
    <n v="79"/>
    <s v="High Risk"/>
    <n v="3"/>
    <x v="3"/>
    <x v="313"/>
    <x v="0"/>
    <s v="Washington"/>
    <n v="13"/>
    <n v="456"/>
    <x v="15"/>
    <x v="313"/>
    <s v="Pass"/>
    <x v="313"/>
    <x v="0"/>
    <x v="2"/>
    <n v="556.42949439999995"/>
    <x v="313"/>
  </r>
  <r>
    <s v="haircare"/>
    <x v="314"/>
    <n v="42.83"/>
    <n v="75"/>
    <n v="101"/>
    <x v="17"/>
    <n v="80"/>
    <s v="High Risk"/>
    <n v="5"/>
    <x v="0"/>
    <x v="314"/>
    <x v="0"/>
    <s v="Texas"/>
    <n v="2"/>
    <n v="812"/>
    <x v="13"/>
    <x v="314"/>
    <s v="Fail"/>
    <x v="314"/>
    <x v="0"/>
    <x v="1"/>
    <n v="807.66360329999998"/>
    <x v="314"/>
  </r>
  <r>
    <s v="skincare"/>
    <x v="315"/>
    <n v="56.05"/>
    <n v="6"/>
    <n v="493"/>
    <x v="6"/>
    <n v="81"/>
    <s v="High Risk"/>
    <n v="9"/>
    <x v="1"/>
    <x v="315"/>
    <x v="1"/>
    <s v="Texas"/>
    <n v="15"/>
    <n v="122"/>
    <x v="25"/>
    <x v="315"/>
    <s v="Pending"/>
    <x v="315"/>
    <x v="1"/>
    <x v="0"/>
    <n v="893.5502712"/>
    <x v="315"/>
  </r>
  <r>
    <s v="skincare"/>
    <x v="316"/>
    <n v="92.39"/>
    <n v="28"/>
    <n v="643"/>
    <x v="11"/>
    <n v="90"/>
    <s v="High Risk"/>
    <n v="4"/>
    <x v="1"/>
    <x v="316"/>
    <x v="1"/>
    <s v="New York"/>
    <n v="15"/>
    <n v="835"/>
    <x v="18"/>
    <x v="316"/>
    <s v="Pass"/>
    <x v="316"/>
    <x v="2"/>
    <x v="2"/>
    <n v="854.82751629999996"/>
    <x v="316"/>
  </r>
  <r>
    <s v="skincare"/>
    <x v="317"/>
    <n v="37.9"/>
    <n v="10"/>
    <n v="613"/>
    <x v="1"/>
    <n v="2"/>
    <s v="Low Risk"/>
    <n v="1"/>
    <x v="3"/>
    <x v="317"/>
    <x v="4"/>
    <s v="New York"/>
    <n v="13"/>
    <n v="979"/>
    <x v="3"/>
    <x v="317"/>
    <s v="Fail"/>
    <x v="317"/>
    <x v="1"/>
    <x v="2"/>
    <n v="623.96266249999996"/>
    <x v="317"/>
  </r>
  <r>
    <s v="skincare"/>
    <x v="318"/>
    <n v="37.96"/>
    <n v="32"/>
    <n v="18"/>
    <x v="17"/>
    <n v="50"/>
    <s v="High Risk"/>
    <n v="4"/>
    <x v="0"/>
    <x v="318"/>
    <x v="4"/>
    <s v="Texas"/>
    <n v="26"/>
    <n v="369"/>
    <x v="20"/>
    <x v="318"/>
    <s v="Fail"/>
    <x v="318"/>
    <x v="1"/>
    <x v="2"/>
    <n v="323.93468380000002"/>
    <x v="318"/>
  </r>
  <r>
    <s v="haircare"/>
    <x v="319"/>
    <n v="75.06"/>
    <n v="5"/>
    <n v="453"/>
    <x v="5"/>
    <n v="12"/>
    <s v="High Risk"/>
    <n v="6"/>
    <x v="3"/>
    <x v="319"/>
    <x v="3"/>
    <s v="Alaska"/>
    <n v="25"/>
    <n v="958"/>
    <x v="17"/>
    <x v="319"/>
    <s v="Pass"/>
    <x v="319"/>
    <x v="1"/>
    <x v="2"/>
    <n v="695.11004490000005"/>
    <x v="319"/>
  </r>
  <r>
    <s v="haircare"/>
    <x v="320"/>
    <n v="47.96"/>
    <n v="78"/>
    <n v="481"/>
    <x v="14"/>
    <n v="90"/>
    <s v="High Risk"/>
    <n v="5"/>
    <x v="1"/>
    <x v="320"/>
    <x v="1"/>
    <s v="Arizona"/>
    <n v="14"/>
    <n v="764"/>
    <x v="29"/>
    <x v="320"/>
    <s v="Fail"/>
    <x v="320"/>
    <x v="0"/>
    <x v="1"/>
    <n v="738.91454120000003"/>
    <x v="320"/>
  </r>
  <r>
    <s v="haircare"/>
    <x v="321"/>
    <n v="26.34"/>
    <n v="31"/>
    <n v="593"/>
    <x v="18"/>
    <n v="23"/>
    <s v="Low Risk"/>
    <n v="1"/>
    <x v="3"/>
    <x v="321"/>
    <x v="0"/>
    <s v="Washington"/>
    <n v="26"/>
    <n v="432"/>
    <x v="21"/>
    <x v="321"/>
    <s v="Fail"/>
    <x v="321"/>
    <x v="0"/>
    <x v="2"/>
    <n v="109.6227911"/>
    <x v="321"/>
  </r>
  <r>
    <s v="skincare"/>
    <x v="322"/>
    <n v="47.98"/>
    <n v="50"/>
    <n v="396"/>
    <x v="26"/>
    <n v="18"/>
    <s v="Low Risk"/>
    <n v="4"/>
    <x v="3"/>
    <x v="322"/>
    <x v="2"/>
    <s v="Arizona"/>
    <n v="22"/>
    <n v="184"/>
    <x v="15"/>
    <x v="322"/>
    <s v="Pending"/>
    <x v="322"/>
    <x v="2"/>
    <x v="1"/>
    <n v="495.28945979999997"/>
    <x v="322"/>
  </r>
  <r>
    <s v="haircare"/>
    <x v="323"/>
    <n v="18.38"/>
    <n v="74"/>
    <n v="278"/>
    <x v="25"/>
    <n v="62"/>
    <s v="Low Risk"/>
    <n v="6"/>
    <x v="1"/>
    <x v="323"/>
    <x v="1"/>
    <s v="Arizona"/>
    <n v="7"/>
    <n v="720"/>
    <x v="3"/>
    <x v="323"/>
    <s v="Pass"/>
    <x v="323"/>
    <x v="0"/>
    <x v="2"/>
    <n v="858.93583850000005"/>
    <x v="323"/>
  </r>
  <r>
    <s v="haircare"/>
    <x v="324"/>
    <n v="21.76"/>
    <n v="57"/>
    <n v="850"/>
    <x v="9"/>
    <n v="96"/>
    <s v="High Risk"/>
    <n v="4"/>
    <x v="0"/>
    <x v="324"/>
    <x v="4"/>
    <s v="Alaska"/>
    <n v="14"/>
    <n v="130"/>
    <x v="26"/>
    <x v="324"/>
    <s v="Pending"/>
    <x v="324"/>
    <x v="0"/>
    <x v="0"/>
    <n v="540.6288366"/>
    <x v="324"/>
  </r>
  <r>
    <s v="haircare"/>
    <x v="325"/>
    <n v="52.34"/>
    <n v="86"/>
    <n v="364"/>
    <x v="28"/>
    <n v="62"/>
    <s v="Low Risk"/>
    <n v="9"/>
    <x v="2"/>
    <x v="325"/>
    <x v="2"/>
    <s v="Texas"/>
    <n v="26"/>
    <n v="840"/>
    <x v="14"/>
    <x v="325"/>
    <s v="Pass"/>
    <x v="325"/>
    <x v="1"/>
    <x v="2"/>
    <n v="380.23789790000001"/>
    <x v="325"/>
  </r>
  <r>
    <s v="haircare"/>
    <x v="326"/>
    <n v="44.8"/>
    <n v="25"/>
    <n v="330"/>
    <x v="20"/>
    <n v="38"/>
    <s v="High Risk"/>
    <n v="5"/>
    <x v="3"/>
    <x v="326"/>
    <x v="4"/>
    <s v="Michigan"/>
    <n v="24"/>
    <n v="339"/>
    <x v="14"/>
    <x v="326"/>
    <s v="Pending"/>
    <x v="326"/>
    <x v="2"/>
    <x v="1"/>
    <n v="884.61799389999999"/>
    <x v="326"/>
  </r>
  <r>
    <s v="skincare"/>
    <x v="327"/>
    <n v="91.91"/>
    <n v="97"/>
    <n v="640"/>
    <x v="3"/>
    <n v="67"/>
    <s v="Low Risk"/>
    <n v="8"/>
    <x v="3"/>
    <x v="327"/>
    <x v="4"/>
    <s v="Michigan"/>
    <n v="27"/>
    <n v="989"/>
    <x v="19"/>
    <x v="327"/>
    <s v="Fail"/>
    <x v="327"/>
    <x v="0"/>
    <x v="0"/>
    <n v="240.29262779999999"/>
    <x v="327"/>
  </r>
  <r>
    <s v="skincare"/>
    <x v="328"/>
    <n v="39.43"/>
    <n v="45"/>
    <n v="343"/>
    <x v="7"/>
    <n v="38"/>
    <s v="Low Risk"/>
    <n v="9"/>
    <x v="3"/>
    <x v="328"/>
    <x v="1"/>
    <s v="Alaska"/>
    <n v="29"/>
    <n v="462"/>
    <x v="3"/>
    <x v="328"/>
    <s v="Pending"/>
    <x v="328"/>
    <x v="0"/>
    <x v="1"/>
    <n v="285.80070919999997"/>
    <x v="328"/>
  </r>
  <r>
    <s v="haircare"/>
    <x v="329"/>
    <n v="60.16"/>
    <n v="97"/>
    <n v="821"/>
    <x v="16"/>
    <n v="67"/>
    <s v="Low Risk"/>
    <n v="5"/>
    <x v="1"/>
    <x v="329"/>
    <x v="3"/>
    <s v="Texas"/>
    <n v="10"/>
    <n v="921"/>
    <x v="14"/>
    <x v="329"/>
    <s v="Pass"/>
    <x v="329"/>
    <x v="0"/>
    <x v="2"/>
    <n v="718.63513020000005"/>
    <x v="329"/>
  </r>
  <r>
    <s v="haircare"/>
    <x v="330"/>
    <n v="65.069999999999993"/>
    <n v="28"/>
    <n v="454"/>
    <x v="10"/>
    <n v="94"/>
    <s v="High Risk"/>
    <n v="6"/>
    <x v="0"/>
    <x v="330"/>
    <x v="1"/>
    <s v="Arizona"/>
    <n v="17"/>
    <n v="488"/>
    <x v="14"/>
    <x v="330"/>
    <s v="Fail"/>
    <x v="330"/>
    <x v="1"/>
    <x v="2"/>
    <n v="417.19234740000002"/>
    <x v="330"/>
  </r>
  <r>
    <s v="skincare"/>
    <x v="331"/>
    <n v="6.24"/>
    <n v="3"/>
    <n v="600"/>
    <x v="26"/>
    <n v="61"/>
    <s v="High Risk"/>
    <n v="1"/>
    <x v="3"/>
    <x v="331"/>
    <x v="4"/>
    <s v="Arizona"/>
    <n v="14"/>
    <n v="752"/>
    <x v="17"/>
    <x v="331"/>
    <s v="Pass"/>
    <x v="331"/>
    <x v="0"/>
    <x v="2"/>
    <n v="741.71515220000003"/>
    <x v="331"/>
  </r>
  <r>
    <s v="haircare"/>
    <x v="332"/>
    <n v="68.040000000000006"/>
    <n v="80"/>
    <n v="724"/>
    <x v="22"/>
    <n v="1"/>
    <s v="Low Risk"/>
    <n v="7"/>
    <x v="3"/>
    <x v="332"/>
    <x v="2"/>
    <s v="Washington"/>
    <n v="8"/>
    <n v="767"/>
    <x v="1"/>
    <x v="332"/>
    <s v="Pending"/>
    <x v="332"/>
    <x v="2"/>
    <x v="0"/>
    <n v="241.93325909999999"/>
    <x v="332"/>
  </r>
  <r>
    <s v="haircare"/>
    <x v="333"/>
    <n v="21.91"/>
    <n v="98"/>
    <n v="654"/>
    <x v="7"/>
    <n v="94"/>
    <s v="Low Risk"/>
    <n v="4"/>
    <x v="0"/>
    <x v="333"/>
    <x v="5"/>
    <s v="Arizona"/>
    <n v="4"/>
    <n v="398"/>
    <x v="25"/>
    <x v="333"/>
    <s v="Fail"/>
    <x v="333"/>
    <x v="1"/>
    <x v="1"/>
    <n v="327.04218059999999"/>
    <x v="333"/>
  </r>
  <r>
    <s v="haircare"/>
    <x v="334"/>
    <n v="96.3"/>
    <n v="12"/>
    <n v="64"/>
    <x v="0"/>
    <n v="45"/>
    <s v="High Risk"/>
    <n v="2"/>
    <x v="3"/>
    <x v="334"/>
    <x v="4"/>
    <s v="Texas"/>
    <n v="26"/>
    <n v="956"/>
    <x v="4"/>
    <x v="334"/>
    <s v="Fail"/>
    <x v="334"/>
    <x v="0"/>
    <x v="2"/>
    <n v="240.9826405"/>
    <x v="334"/>
  </r>
  <r>
    <s v="skincare"/>
    <x v="335"/>
    <n v="13.11"/>
    <n v="28"/>
    <n v="142"/>
    <x v="29"/>
    <n v="21"/>
    <s v="Low Risk"/>
    <n v="6"/>
    <x v="0"/>
    <x v="335"/>
    <x v="1"/>
    <s v="Alaska"/>
    <n v="13"/>
    <n v="146"/>
    <x v="4"/>
    <x v="335"/>
    <s v="Pending"/>
    <x v="335"/>
    <x v="0"/>
    <x v="2"/>
    <n v="403.4979189"/>
    <x v="335"/>
  </r>
  <r>
    <s v="haircare"/>
    <x v="336"/>
    <n v="99.7"/>
    <n v="28"/>
    <n v="916"/>
    <x v="2"/>
    <n v="13"/>
    <s v="Low Risk"/>
    <n v="8"/>
    <x v="0"/>
    <x v="336"/>
    <x v="3"/>
    <s v="Arizona"/>
    <n v="22"/>
    <n v="938"/>
    <x v="18"/>
    <x v="336"/>
    <s v="Pending"/>
    <x v="336"/>
    <x v="0"/>
    <x v="2"/>
    <n v="112.7819406"/>
    <x v="336"/>
  </r>
  <r>
    <s v="haircare"/>
    <x v="337"/>
    <n v="52.71"/>
    <n v="74"/>
    <n v="914"/>
    <x v="22"/>
    <n v="27"/>
    <s v="Low Risk"/>
    <n v="7"/>
    <x v="0"/>
    <x v="337"/>
    <x v="2"/>
    <s v="Texas"/>
    <n v="27"/>
    <n v="521"/>
    <x v="28"/>
    <x v="337"/>
    <s v="Pending"/>
    <x v="337"/>
    <x v="0"/>
    <x v="0"/>
    <n v="238.07582149999999"/>
    <x v="337"/>
  </r>
  <r>
    <s v="skincare"/>
    <x v="338"/>
    <n v="61.56"/>
    <n v="31"/>
    <n v="827"/>
    <x v="11"/>
    <n v="7"/>
    <s v="Low Risk"/>
    <n v="3"/>
    <x v="0"/>
    <x v="338"/>
    <x v="2"/>
    <s v="Texas"/>
    <n v="25"/>
    <n v="579"/>
    <x v="19"/>
    <x v="338"/>
    <s v="Fail"/>
    <x v="338"/>
    <x v="1"/>
    <x v="2"/>
    <n v="479.02227060000001"/>
    <x v="338"/>
  </r>
  <r>
    <s v="skincare"/>
    <x v="339"/>
    <n v="11.37"/>
    <n v="1"/>
    <n v="604"/>
    <x v="10"/>
    <n v="22"/>
    <s v="High Risk"/>
    <n v="8"/>
    <x v="1"/>
    <x v="339"/>
    <x v="3"/>
    <s v="Alaska"/>
    <n v="27"/>
    <n v="678"/>
    <x v="15"/>
    <x v="339"/>
    <s v="Fail"/>
    <x v="339"/>
    <x v="0"/>
    <x v="0"/>
    <n v="161.65251330000001"/>
    <x v="339"/>
  </r>
  <r>
    <s v="skincare"/>
    <x v="340"/>
    <n v="76.25"/>
    <n v="46"/>
    <n v="472"/>
    <x v="17"/>
    <n v="74"/>
    <s v="High Risk"/>
    <n v="2"/>
    <x v="3"/>
    <x v="340"/>
    <x v="1"/>
    <s v="Texas"/>
    <n v="20"/>
    <n v="161"/>
    <x v="2"/>
    <x v="340"/>
    <s v="Pass"/>
    <x v="340"/>
    <x v="1"/>
    <x v="2"/>
    <n v="559.66539660000001"/>
    <x v="340"/>
  </r>
  <r>
    <s v="skincare"/>
    <x v="341"/>
    <n v="24.94"/>
    <n v="77"/>
    <n v="416"/>
    <x v="24"/>
    <n v="53"/>
    <s v="Low Risk"/>
    <n v="9"/>
    <x v="3"/>
    <x v="341"/>
    <x v="4"/>
    <s v="Washington"/>
    <n v="18"/>
    <n v="208"/>
    <x v="21"/>
    <x v="341"/>
    <s v="Pending"/>
    <x v="341"/>
    <x v="1"/>
    <x v="2"/>
    <n v="509.51389460000001"/>
    <x v="341"/>
  </r>
  <r>
    <s v="haircare"/>
    <x v="342"/>
    <n v="90.32"/>
    <n v="83"/>
    <n v="304"/>
    <x v="21"/>
    <n v="79"/>
    <s v="Low Risk"/>
    <n v="4"/>
    <x v="3"/>
    <x v="342"/>
    <x v="3"/>
    <s v="Alaska"/>
    <n v="14"/>
    <n v="778"/>
    <x v="6"/>
    <x v="342"/>
    <s v="Fail"/>
    <x v="342"/>
    <x v="2"/>
    <x v="1"/>
    <n v="790.45132630000001"/>
    <x v="342"/>
  </r>
  <r>
    <s v="haircare"/>
    <x v="343"/>
    <n v="24.49"/>
    <n v="21"/>
    <n v="735"/>
    <x v="17"/>
    <n v="79"/>
    <s v="High Risk"/>
    <n v="1"/>
    <x v="3"/>
    <x v="343"/>
    <x v="2"/>
    <s v="Texas"/>
    <n v="18"/>
    <n v="648"/>
    <x v="18"/>
    <x v="343"/>
    <s v="Fail"/>
    <x v="343"/>
    <x v="0"/>
    <x v="0"/>
    <n v="693.82243129999995"/>
    <x v="343"/>
  </r>
  <r>
    <s v="skincare"/>
    <x v="344"/>
    <n v="23.12"/>
    <n v="74"/>
    <n v="496"/>
    <x v="25"/>
    <n v="4"/>
    <s v="Low Risk"/>
    <n v="8"/>
    <x v="3"/>
    <x v="344"/>
    <x v="3"/>
    <s v="Washington"/>
    <n v="5"/>
    <n v="218"/>
    <x v="24"/>
    <x v="344"/>
    <s v="Pending"/>
    <x v="344"/>
    <x v="0"/>
    <x v="1"/>
    <n v="501.35257480000001"/>
    <x v="344"/>
  </r>
  <r>
    <s v="haircare"/>
    <x v="345"/>
    <n v="8.4700000000000006"/>
    <n v="26"/>
    <n v="290"/>
    <x v="11"/>
    <n v="96"/>
    <s v="High Risk"/>
    <n v="7"/>
    <x v="1"/>
    <x v="345"/>
    <x v="1"/>
    <s v="Arizona"/>
    <n v="26"/>
    <n v="697"/>
    <x v="4"/>
    <x v="345"/>
    <s v="Pass"/>
    <x v="345"/>
    <x v="1"/>
    <x v="1"/>
    <n v="302.19463009999998"/>
    <x v="345"/>
  </r>
  <r>
    <s v="skincare"/>
    <x v="346"/>
    <n v="49.85"/>
    <n v="66"/>
    <n v="939"/>
    <x v="26"/>
    <n v="23"/>
    <s v="Low Risk"/>
    <n v="5"/>
    <x v="3"/>
    <x v="346"/>
    <x v="3"/>
    <s v="Alaska"/>
    <n v="9"/>
    <n v="481"/>
    <x v="25"/>
    <x v="346"/>
    <s v="Pending"/>
    <x v="346"/>
    <x v="2"/>
    <x v="0"/>
    <n v="754.17720940000004"/>
    <x v="346"/>
  </r>
  <r>
    <s v="skincare"/>
    <x v="347"/>
    <n v="58.66"/>
    <n v="80"/>
    <n v="101"/>
    <x v="10"/>
    <n v="70"/>
    <s v="Low Risk"/>
    <n v="5"/>
    <x v="1"/>
    <x v="347"/>
    <x v="5"/>
    <s v="Texas"/>
    <n v="28"/>
    <n v="491"/>
    <x v="24"/>
    <x v="347"/>
    <s v="nan"/>
    <x v="347"/>
    <x v="1"/>
    <x v="2"/>
    <n v="737.07589310000003"/>
    <x v="347"/>
  </r>
  <r>
    <s v="skincare"/>
    <x v="348"/>
    <n v="11.24"/>
    <n v="55"/>
    <n v="985"/>
    <x v="7"/>
    <n v="88"/>
    <s v="High Risk"/>
    <n v="7"/>
    <x v="0"/>
    <x v="348"/>
    <x v="4"/>
    <s v="Michigan"/>
    <n v="3"/>
    <n v="151"/>
    <x v="12"/>
    <x v="348"/>
    <s v="Pending"/>
    <x v="348"/>
    <x v="0"/>
    <x v="1"/>
    <n v="237.9665445"/>
    <x v="348"/>
  </r>
  <r>
    <s v="haircare"/>
    <x v="349"/>
    <n v="78.680000000000007"/>
    <n v="91"/>
    <n v="266"/>
    <x v="18"/>
    <n v="84"/>
    <s v="Low Risk"/>
    <n v="5"/>
    <x v="1"/>
    <x v="349"/>
    <x v="2"/>
    <s v="Texas"/>
    <n v="8"/>
    <n v="702"/>
    <x v="4"/>
    <x v="349"/>
    <s v="Pending"/>
    <x v="349"/>
    <x v="1"/>
    <x v="0"/>
    <n v="923.27664830000003"/>
    <x v="349"/>
  </r>
  <r>
    <s v="skincare"/>
    <x v="350"/>
    <n v="48.06"/>
    <n v="92"/>
    <n v="866"/>
    <x v="0"/>
    <n v="84"/>
    <s v="Low Risk"/>
    <n v="8"/>
    <x v="1"/>
    <x v="350"/>
    <x v="1"/>
    <s v="Washington"/>
    <n v="20"/>
    <n v="388"/>
    <x v="11"/>
    <x v="350"/>
    <s v="Fail"/>
    <x v="350"/>
    <x v="0"/>
    <x v="2"/>
    <n v="157.96460440000001"/>
    <x v="350"/>
  </r>
  <r>
    <s v="haircare"/>
    <x v="351"/>
    <n v="54.82"/>
    <n v="20"/>
    <n v="967"/>
    <x v="13"/>
    <n v="76"/>
    <s v="High Risk"/>
    <n v="6"/>
    <x v="3"/>
    <x v="351"/>
    <x v="4"/>
    <s v="Washington"/>
    <n v="22"/>
    <n v="436"/>
    <x v="17"/>
    <x v="351"/>
    <s v="Pass"/>
    <x v="351"/>
    <x v="2"/>
    <x v="2"/>
    <n v="149.53393800000001"/>
    <x v="351"/>
  </r>
  <r>
    <s v="skincare"/>
    <x v="352"/>
    <n v="43.07"/>
    <n v="79"/>
    <n v="973"/>
    <x v="26"/>
    <n v="28"/>
    <s v="Low Risk"/>
    <n v="9"/>
    <x v="0"/>
    <x v="352"/>
    <x v="5"/>
    <s v="Alaska"/>
    <n v="22"/>
    <n v="303"/>
    <x v="23"/>
    <x v="352"/>
    <s v="Pass"/>
    <x v="352"/>
    <x v="0"/>
    <x v="2"/>
    <n v="918.51471819999995"/>
    <x v="352"/>
  </r>
  <r>
    <s v="haircare"/>
    <x v="353"/>
    <n v="58.17"/>
    <n v="58"/>
    <n v="841"/>
    <x v="0"/>
    <n v="8"/>
    <s v="Low Risk"/>
    <n v="2"/>
    <x v="3"/>
    <x v="353"/>
    <x v="2"/>
    <s v="Arizona"/>
    <n v="19"/>
    <n v="979"/>
    <x v="11"/>
    <x v="353"/>
    <s v="Pass"/>
    <x v="353"/>
    <x v="2"/>
    <x v="0"/>
    <n v="567.99831159999997"/>
    <x v="353"/>
  </r>
  <r>
    <s v="skincare"/>
    <x v="354"/>
    <n v="19.75"/>
    <n v="83"/>
    <n v="961"/>
    <x v="7"/>
    <n v="1"/>
    <s v="Low Risk"/>
    <n v="1"/>
    <x v="3"/>
    <x v="354"/>
    <x v="2"/>
    <s v="New York"/>
    <n v="30"/>
    <n v="337"/>
    <x v="25"/>
    <x v="354"/>
    <s v="Pending"/>
    <x v="354"/>
    <x v="1"/>
    <x v="1"/>
    <n v="809.14682860000005"/>
    <x v="354"/>
  </r>
  <r>
    <s v="skincare"/>
    <x v="355"/>
    <n v="22.28"/>
    <n v="5"/>
    <n v="941"/>
    <x v="8"/>
    <n v="37"/>
    <s v="High Risk"/>
    <n v="8"/>
    <x v="0"/>
    <x v="355"/>
    <x v="0"/>
    <s v="Alaska"/>
    <n v="21"/>
    <n v="481"/>
    <x v="5"/>
    <x v="355"/>
    <s v="Pass"/>
    <x v="355"/>
    <x v="1"/>
    <x v="1"/>
    <n v="305.05886930000003"/>
    <x v="355"/>
  </r>
  <r>
    <s v="haircare"/>
    <x v="356"/>
    <n v="86.87"/>
    <n v="18"/>
    <n v="776"/>
    <x v="7"/>
    <n v="63"/>
    <s v="High Risk"/>
    <n v="3"/>
    <x v="3"/>
    <x v="356"/>
    <x v="3"/>
    <s v="Alaska"/>
    <n v="28"/>
    <n v="766"/>
    <x v="10"/>
    <x v="356"/>
    <s v="Pending"/>
    <x v="356"/>
    <x v="1"/>
    <x v="1"/>
    <n v="541.19977719999997"/>
    <x v="356"/>
  </r>
  <r>
    <s v="haircare"/>
    <x v="357"/>
    <n v="94.88"/>
    <n v="56"/>
    <n v="2"/>
    <x v="5"/>
    <n v="22"/>
    <s v="Low Risk"/>
    <n v="7"/>
    <x v="1"/>
    <x v="357"/>
    <x v="2"/>
    <s v="Texas"/>
    <n v="3"/>
    <n v="851"/>
    <x v="9"/>
    <x v="357"/>
    <s v="Pending"/>
    <x v="357"/>
    <x v="2"/>
    <x v="0"/>
    <n v="422.46051729999999"/>
    <x v="357"/>
  </r>
  <r>
    <s v="haircare"/>
    <x v="358"/>
    <n v="40.46"/>
    <n v="68"/>
    <n v="84"/>
    <x v="17"/>
    <n v="70"/>
    <s v="High Risk"/>
    <n v="8"/>
    <x v="3"/>
    <x v="358"/>
    <x v="2"/>
    <s v="Arizona"/>
    <n v="11"/>
    <n v="235"/>
    <x v="17"/>
    <x v="358"/>
    <s v="Pending"/>
    <x v="358"/>
    <x v="2"/>
    <x v="2"/>
    <n v="845.04574639999998"/>
    <x v="358"/>
  </r>
  <r>
    <s v="haircare"/>
    <x v="359"/>
    <n v="30.72"/>
    <n v="2"/>
    <n v="793"/>
    <x v="16"/>
    <n v="21"/>
    <s v="High Risk"/>
    <n v="6"/>
    <x v="0"/>
    <x v="359"/>
    <x v="2"/>
    <s v="Arizona"/>
    <n v="11"/>
    <n v="506"/>
    <x v="14"/>
    <x v="359"/>
    <s v="Pending"/>
    <x v="359"/>
    <x v="0"/>
    <x v="2"/>
    <n v="120.3439954"/>
    <x v="359"/>
  </r>
  <r>
    <s v="haircare"/>
    <x v="360"/>
    <n v="66.180000000000007"/>
    <n v="0"/>
    <n v="327"/>
    <x v="8"/>
    <n v="96"/>
    <s v="High Risk"/>
    <n v="9"/>
    <x v="3"/>
    <x v="360"/>
    <x v="0"/>
    <s v="Michigan"/>
    <n v="17"/>
    <n v="607"/>
    <x v="24"/>
    <x v="360"/>
    <s v="Pending"/>
    <x v="360"/>
    <x v="2"/>
    <x v="0"/>
    <n v="319.45845700000001"/>
    <x v="360"/>
  </r>
  <r>
    <s v="skincare"/>
    <x v="361"/>
    <n v="43.83"/>
    <n v="57"/>
    <n v="815"/>
    <x v="13"/>
    <n v="35"/>
    <s v="Low Risk"/>
    <n v="7"/>
    <x v="1"/>
    <x v="361"/>
    <x v="2"/>
    <s v="Arizona"/>
    <n v="16"/>
    <n v="461"/>
    <x v="2"/>
    <x v="361"/>
    <s v="Pending"/>
    <x v="361"/>
    <x v="0"/>
    <x v="0"/>
    <n v="237.3168019"/>
    <x v="361"/>
  </r>
  <r>
    <s v="haircare"/>
    <x v="362"/>
    <n v="7.41"/>
    <n v="37"/>
    <n v="449"/>
    <x v="2"/>
    <n v="79"/>
    <s v="High Risk"/>
    <n v="5"/>
    <x v="1"/>
    <x v="362"/>
    <x v="4"/>
    <s v="Washington"/>
    <n v="7"/>
    <n v="480"/>
    <x v="2"/>
    <x v="362"/>
    <s v="Fail"/>
    <x v="362"/>
    <x v="2"/>
    <x v="1"/>
    <n v="873.27013480000005"/>
    <x v="362"/>
  </r>
  <r>
    <s v="haircare"/>
    <x v="363"/>
    <n v="19.829999999999998"/>
    <n v="14"/>
    <n v="453"/>
    <x v="9"/>
    <n v="5"/>
    <s v="Low Risk"/>
    <n v="8"/>
    <x v="1"/>
    <x v="363"/>
    <x v="0"/>
    <s v="New York"/>
    <n v="4"/>
    <n v="980"/>
    <x v="24"/>
    <x v="363"/>
    <s v="Pass"/>
    <x v="363"/>
    <x v="2"/>
    <x v="2"/>
    <n v="520.78946470000005"/>
    <x v="363"/>
  </r>
  <r>
    <s v="skincare"/>
    <x v="364"/>
    <n v="73.02"/>
    <n v="33"/>
    <n v="923"/>
    <x v="6"/>
    <n v="60"/>
    <s v="High Risk"/>
    <n v="2"/>
    <x v="3"/>
    <x v="364"/>
    <x v="4"/>
    <s v="Arizona"/>
    <n v="30"/>
    <n v="675"/>
    <x v="25"/>
    <x v="364"/>
    <s v="Pending"/>
    <x v="364"/>
    <x v="2"/>
    <x v="2"/>
    <n v="463.79803950000002"/>
    <x v="364"/>
  </r>
  <r>
    <s v="haircare"/>
    <x v="365"/>
    <n v="67.599999999999994"/>
    <n v="60"/>
    <n v="628"/>
    <x v="18"/>
    <n v="46"/>
    <s v="Low Risk"/>
    <n v="7"/>
    <x v="3"/>
    <x v="365"/>
    <x v="2"/>
    <s v="Washington"/>
    <n v="23"/>
    <n v="734"/>
    <x v="22"/>
    <x v="365"/>
    <s v="Pending"/>
    <x v="365"/>
    <x v="2"/>
    <x v="1"/>
    <n v="504.53448589999999"/>
    <x v="365"/>
  </r>
  <r>
    <s v="skincare"/>
    <x v="366"/>
    <n v="7.57"/>
    <n v="34"/>
    <n v="220"/>
    <x v="21"/>
    <n v="50"/>
    <s v="High Risk"/>
    <n v="4"/>
    <x v="1"/>
    <x v="366"/>
    <x v="1"/>
    <s v="Alaska"/>
    <n v="19"/>
    <n v="353"/>
    <x v="5"/>
    <x v="366"/>
    <s v="Fail"/>
    <x v="366"/>
    <x v="1"/>
    <x v="1"/>
    <n v="974.73209559999998"/>
    <x v="366"/>
  </r>
  <r>
    <s v="haircare"/>
    <x v="367"/>
    <n v="26.09"/>
    <n v="63"/>
    <n v="153"/>
    <x v="10"/>
    <n v="48"/>
    <s v="Low Risk"/>
    <n v="9"/>
    <x v="0"/>
    <x v="367"/>
    <x v="2"/>
    <s v="Washington"/>
    <n v="12"/>
    <n v="576"/>
    <x v="6"/>
    <x v="367"/>
    <s v="Pass"/>
    <x v="367"/>
    <x v="2"/>
    <x v="0"/>
    <n v="865.24065489999998"/>
    <x v="367"/>
  </r>
  <r>
    <s v="haircare"/>
    <x v="368"/>
    <n v="26.95"/>
    <n v="24"/>
    <n v="664"/>
    <x v="7"/>
    <n v="6"/>
    <s v="Low Risk"/>
    <n v="1"/>
    <x v="0"/>
    <x v="368"/>
    <x v="0"/>
    <s v="Alaska"/>
    <n v="15"/>
    <n v="213"/>
    <x v="18"/>
    <x v="368"/>
    <s v="Fail"/>
    <x v="368"/>
    <x v="1"/>
    <x v="0"/>
    <n v="735.7318947"/>
    <x v="368"/>
  </r>
  <r>
    <s v="skincare"/>
    <x v="369"/>
    <n v="68.83"/>
    <n v="23"/>
    <n v="11"/>
    <x v="25"/>
    <n v="89"/>
    <s v="High Risk"/>
    <n v="7"/>
    <x v="3"/>
    <x v="369"/>
    <x v="1"/>
    <s v="Arizona"/>
    <n v="11"/>
    <n v="119"/>
    <x v="25"/>
    <x v="369"/>
    <s v="Pass"/>
    <x v="369"/>
    <x v="1"/>
    <x v="0"/>
    <n v="361.43106330000001"/>
    <x v="369"/>
  </r>
  <r>
    <s v="skincare"/>
    <x v="370"/>
    <n v="6.87"/>
    <n v="11"/>
    <n v="132"/>
    <x v="2"/>
    <n v="56"/>
    <s v="High Risk"/>
    <n v="6"/>
    <x v="0"/>
    <x v="370"/>
    <x v="4"/>
    <s v="Alaska"/>
    <n v="5"/>
    <n v="627"/>
    <x v="29"/>
    <x v="370"/>
    <s v="Pending"/>
    <x v="370"/>
    <x v="2"/>
    <x v="0"/>
    <n v="248.65569959999999"/>
    <x v="370"/>
  </r>
  <r>
    <s v="skincare"/>
    <x v="371"/>
    <n v="14.89"/>
    <n v="17"/>
    <n v="993"/>
    <x v="1"/>
    <n v="59"/>
    <s v="High Risk"/>
    <n v="8"/>
    <x v="1"/>
    <x v="371"/>
    <x v="4"/>
    <s v="Washington"/>
    <n v="5"/>
    <n v="244"/>
    <x v="23"/>
    <x v="371"/>
    <s v="Pending"/>
    <x v="371"/>
    <x v="2"/>
    <x v="0"/>
    <n v="929.29026610000005"/>
    <x v="371"/>
  </r>
  <r>
    <s v="skincare"/>
    <x v="372"/>
    <n v="80.989999999999995"/>
    <n v="14"/>
    <n v="303"/>
    <x v="21"/>
    <n v="29"/>
    <s v="High Risk"/>
    <n v="5"/>
    <x v="3"/>
    <x v="372"/>
    <x v="4"/>
    <s v="Alaska"/>
    <n v="15"/>
    <n v="307"/>
    <x v="20"/>
    <x v="372"/>
    <s v="Pass"/>
    <x v="372"/>
    <x v="0"/>
    <x v="1"/>
    <n v="480.76797049999999"/>
    <x v="372"/>
  </r>
  <r>
    <s v="skincare"/>
    <x v="373"/>
    <n v="21.96"/>
    <n v="79"/>
    <n v="292"/>
    <x v="7"/>
    <n v="71"/>
    <s v="Low Risk"/>
    <n v="1"/>
    <x v="3"/>
    <x v="373"/>
    <x v="4"/>
    <s v="New York"/>
    <n v="29"/>
    <n v="630"/>
    <x v="16"/>
    <x v="373"/>
    <s v="Pending"/>
    <x v="373"/>
    <x v="1"/>
    <x v="0"/>
    <n v="350.88021950000001"/>
    <x v="373"/>
  </r>
  <r>
    <s v="haircare"/>
    <x v="374"/>
    <n v="67.010000000000005"/>
    <n v="26"/>
    <n v="974"/>
    <x v="14"/>
    <n v="77"/>
    <s v="High Risk"/>
    <n v="1"/>
    <x v="0"/>
    <x v="374"/>
    <x v="1"/>
    <s v="Texas"/>
    <n v="18"/>
    <n v="475"/>
    <x v="25"/>
    <x v="374"/>
    <s v="Pass"/>
    <x v="374"/>
    <x v="2"/>
    <x v="0"/>
    <n v="523.82874379999998"/>
    <x v="374"/>
  </r>
  <r>
    <s v="haircare"/>
    <x v="375"/>
    <n v="27.63"/>
    <n v="71"/>
    <n v="299"/>
    <x v="25"/>
    <n v="18"/>
    <s v="Low Risk"/>
    <n v="9"/>
    <x v="0"/>
    <x v="375"/>
    <x v="1"/>
    <s v="Michigan"/>
    <n v="11"/>
    <n v="603"/>
    <x v="20"/>
    <x v="375"/>
    <s v="Pending"/>
    <x v="375"/>
    <x v="1"/>
    <x v="2"/>
    <n v="926.06268050000006"/>
    <x v="375"/>
  </r>
  <r>
    <s v="skincare"/>
    <x v="376"/>
    <n v="14.45"/>
    <n v="59"/>
    <n v="739"/>
    <x v="8"/>
    <n v="2"/>
    <s v="Low Risk"/>
    <n v="6"/>
    <x v="1"/>
    <x v="376"/>
    <x v="3"/>
    <s v="Washington"/>
    <n v="26"/>
    <n v="265"/>
    <x v="25"/>
    <x v="376"/>
    <s v="Fail"/>
    <x v="376"/>
    <x v="2"/>
    <x v="2"/>
    <n v="448.36058209999999"/>
    <x v="376"/>
  </r>
  <r>
    <s v="skincare"/>
    <x v="377"/>
    <n v="28.1"/>
    <n v="45"/>
    <n v="782"/>
    <x v="17"/>
    <n v="8"/>
    <s v="Low Risk"/>
    <n v="5"/>
    <x v="0"/>
    <x v="377"/>
    <x v="0"/>
    <s v="New York"/>
    <n v="12"/>
    <n v="649"/>
    <x v="9"/>
    <x v="377"/>
    <s v="Pending"/>
    <x v="377"/>
    <x v="1"/>
    <x v="2"/>
    <n v="606.37689750000004"/>
    <x v="377"/>
  </r>
  <r>
    <s v="NaN"/>
    <x v="378"/>
    <n v="73.62"/>
    <n v="88"/>
    <n v="42"/>
    <x v="24"/>
    <n v="75"/>
    <s v="Low Risk"/>
    <n v="1"/>
    <x v="1"/>
    <x v="378"/>
    <x v="1"/>
    <s v="Arizona"/>
    <n v="2"/>
    <n v="280"/>
    <x v="28"/>
    <x v="378"/>
    <s v="Fail"/>
    <x v="378"/>
    <x v="1"/>
    <x v="2"/>
    <n v="822.66967099999999"/>
    <x v="378"/>
  </r>
  <r>
    <s v="haircare"/>
    <x v="379"/>
    <n v="86.29"/>
    <n v="16"/>
    <n v="943"/>
    <x v="6"/>
    <n v="97"/>
    <s v="High Risk"/>
    <n v="6"/>
    <x v="0"/>
    <x v="379"/>
    <x v="1"/>
    <s v="Alaska"/>
    <n v="20"/>
    <n v="960"/>
    <x v="4"/>
    <x v="379"/>
    <s v="Pass"/>
    <x v="379"/>
    <x v="2"/>
    <x v="0"/>
    <n v="484.4192779"/>
    <x v="379"/>
  </r>
  <r>
    <s v="haircare"/>
    <x v="380"/>
    <n v="83.87"/>
    <n v="92"/>
    <n v="342"/>
    <x v="23"/>
    <n v="54"/>
    <s v="Low Risk"/>
    <n v="6"/>
    <x v="2"/>
    <x v="380"/>
    <x v="4"/>
    <s v="Washington"/>
    <n v="15"/>
    <n v="716"/>
    <x v="16"/>
    <x v="380"/>
    <s v="Fail"/>
    <x v="380"/>
    <x v="0"/>
    <x v="2"/>
    <n v="310.18762170000002"/>
    <x v="380"/>
  </r>
  <r>
    <s v="skincare"/>
    <x v="381"/>
    <n v="42.73"/>
    <n v="52"/>
    <n v="325"/>
    <x v="5"/>
    <n v="38"/>
    <s v="Low Risk"/>
    <n v="3"/>
    <x v="1"/>
    <x v="381"/>
    <x v="4"/>
    <s v="Washington"/>
    <n v="20"/>
    <n v="711"/>
    <x v="15"/>
    <x v="381"/>
    <s v="Pass"/>
    <x v="381"/>
    <x v="2"/>
    <x v="2"/>
    <n v="995.07317350000005"/>
    <x v="381"/>
  </r>
  <r>
    <s v="haircare"/>
    <x v="382"/>
    <n v="68.47"/>
    <n v="7"/>
    <n v="813"/>
    <x v="13"/>
    <n v="48"/>
    <s v="High Risk"/>
    <n v="8"/>
    <x v="0"/>
    <x v="382"/>
    <x v="3"/>
    <s v="Washington"/>
    <n v="4"/>
    <n v="701"/>
    <x v="22"/>
    <x v="382"/>
    <s v="Fail"/>
    <x v="382"/>
    <x v="2"/>
    <x v="1"/>
    <n v="960.91377169999998"/>
    <x v="382"/>
  </r>
  <r>
    <s v="skincare"/>
    <x v="383"/>
    <n v="24.47"/>
    <n v="78"/>
    <n v="497"/>
    <x v="19"/>
    <n v="27"/>
    <s v="Low Risk"/>
    <n v="1"/>
    <x v="1"/>
    <x v="383"/>
    <x v="1"/>
    <s v="Michigan"/>
    <n v="22"/>
    <n v="911"/>
    <x v="24"/>
    <x v="383"/>
    <s v="Pass"/>
    <x v="383"/>
    <x v="0"/>
    <x v="0"/>
    <n v="859.13125219999995"/>
    <x v="383"/>
  </r>
  <r>
    <s v="skincare"/>
    <x v="384"/>
    <n v="32.85"/>
    <n v="26"/>
    <n v="363"/>
    <x v="23"/>
    <n v="20"/>
    <s v="Low Risk"/>
    <n v="1"/>
    <x v="3"/>
    <x v="384"/>
    <x v="2"/>
    <s v="Arizona"/>
    <n v="18"/>
    <n v="543"/>
    <x v="7"/>
    <x v="384"/>
    <s v="Fail"/>
    <x v="384"/>
    <x v="1"/>
    <x v="2"/>
    <n v="719.53649140000005"/>
    <x v="384"/>
  </r>
  <r>
    <s v="haircare"/>
    <x v="385"/>
    <n v="90.15"/>
    <n v="45"/>
    <n v="890"/>
    <x v="8"/>
    <n v="12"/>
    <s v="Low Risk"/>
    <n v="6"/>
    <x v="3"/>
    <x v="385"/>
    <x v="4"/>
    <s v="Michigan"/>
    <n v="6"/>
    <n v="431"/>
    <x v="18"/>
    <x v="385"/>
    <s v="Pending"/>
    <x v="385"/>
    <x v="2"/>
    <x v="2"/>
    <n v="365.37906529999998"/>
    <x v="385"/>
  </r>
  <r>
    <s v="skincare"/>
    <x v="386"/>
    <n v="6.24"/>
    <n v="49"/>
    <n v="426"/>
    <x v="3"/>
    <n v="43"/>
    <s v="Low Risk"/>
    <n v="1"/>
    <x v="3"/>
    <x v="386"/>
    <x v="3"/>
    <s v="Arizona"/>
    <n v="23"/>
    <n v="602"/>
    <x v="12"/>
    <x v="386"/>
    <s v="Pending"/>
    <x v="386"/>
    <x v="1"/>
    <x v="1"/>
    <n v="922.0716443"/>
    <x v="386"/>
  </r>
  <r>
    <s v="skincare"/>
    <x v="387"/>
    <n v="13.12"/>
    <n v="70"/>
    <n v="20"/>
    <x v="19"/>
    <n v="61"/>
    <s v="Low Risk"/>
    <n v="6"/>
    <x v="0"/>
    <x v="387"/>
    <x v="3"/>
    <s v="Michigan"/>
    <n v="27"/>
    <n v="178"/>
    <x v="13"/>
    <x v="387"/>
    <s v="Pending"/>
    <x v="387"/>
    <x v="1"/>
    <x v="0"/>
    <n v="348.00100309999999"/>
    <x v="387"/>
  </r>
  <r>
    <s v="haircare"/>
    <x v="388"/>
    <n v="24.75"/>
    <n v="2"/>
    <n v="406"/>
    <x v="0"/>
    <n v="31"/>
    <s v="High Risk"/>
    <n v="1"/>
    <x v="0"/>
    <x v="388"/>
    <x v="4"/>
    <s v="Texas"/>
    <n v="26"/>
    <n v="684"/>
    <x v="18"/>
    <x v="388"/>
    <s v="Pending"/>
    <x v="388"/>
    <x v="2"/>
    <x v="2"/>
    <n v="820.72854519999999"/>
    <x v="388"/>
  </r>
  <r>
    <s v="skincare"/>
    <x v="389"/>
    <n v="7.52"/>
    <n v="92"/>
    <n v="618"/>
    <x v="8"/>
    <n v="91"/>
    <s v="Low Risk"/>
    <n v="6"/>
    <x v="3"/>
    <x v="389"/>
    <x v="5"/>
    <s v="Texas"/>
    <n v="19"/>
    <n v="787"/>
    <x v="27"/>
    <x v="389"/>
    <s v="Pass"/>
    <x v="389"/>
    <x v="1"/>
    <x v="0"/>
    <n v="926.43235110000001"/>
    <x v="389"/>
  </r>
  <r>
    <s v="skincare"/>
    <x v="390"/>
    <n v="22.24"/>
    <n v="63"/>
    <n v="335"/>
    <x v="2"/>
    <n v="96"/>
    <s v="High Risk"/>
    <n v="3"/>
    <x v="0"/>
    <x v="390"/>
    <x v="2"/>
    <s v="Washington"/>
    <n v="11"/>
    <n v="495"/>
    <x v="6"/>
    <x v="390"/>
    <s v="Pass"/>
    <x v="390"/>
    <x v="2"/>
    <x v="2"/>
    <n v="642.70345640000005"/>
    <x v="390"/>
  </r>
  <r>
    <s v="skincare"/>
    <x v="391"/>
    <n v="60.39"/>
    <n v="43"/>
    <n v="814"/>
    <x v="13"/>
    <n v="61"/>
    <s v="High Risk"/>
    <n v="8"/>
    <x v="0"/>
    <x v="391"/>
    <x v="4"/>
    <s v="Alaska"/>
    <n v="28"/>
    <n v="707"/>
    <x v="7"/>
    <x v="391"/>
    <s v="Fail"/>
    <x v="391"/>
    <x v="1"/>
    <x v="0"/>
    <n v="822.75059610000005"/>
    <x v="391"/>
  </r>
  <r>
    <s v="haircare"/>
    <x v="392"/>
    <n v="45.04"/>
    <n v="52"/>
    <n v="116"/>
    <x v="18"/>
    <n v="74"/>
    <s v="High Risk"/>
    <n v="6"/>
    <x v="1"/>
    <x v="392"/>
    <x v="2"/>
    <s v="Texas"/>
    <n v="24"/>
    <n v="956"/>
    <x v="28"/>
    <x v="392"/>
    <s v="Pending"/>
    <x v="392"/>
    <x v="2"/>
    <x v="2"/>
    <n v="812.52558929999998"/>
    <x v="392"/>
  </r>
  <r>
    <s v="skincare"/>
    <x v="393"/>
    <n v="89.8"/>
    <n v="23"/>
    <n v="123"/>
    <x v="8"/>
    <n v="67"/>
    <s v="High Risk"/>
    <n v="1"/>
    <x v="2"/>
    <x v="393"/>
    <x v="2"/>
    <s v="Washington"/>
    <n v="2"/>
    <n v="202"/>
    <x v="9"/>
    <x v="393"/>
    <s v="nan"/>
    <x v="393"/>
    <x v="2"/>
    <x v="0"/>
    <n v="273.84197599999999"/>
    <x v="393"/>
  </r>
  <r>
    <s v="haircare"/>
    <x v="394"/>
    <n v="82.66"/>
    <n v="59"/>
    <n v="398"/>
    <x v="0"/>
    <n v="91"/>
    <s v="High Risk"/>
    <n v="5"/>
    <x v="1"/>
    <x v="394"/>
    <x v="4"/>
    <s v="Alaska"/>
    <n v="27"/>
    <n v="501"/>
    <x v="19"/>
    <x v="394"/>
    <s v="Pass"/>
    <x v="394"/>
    <x v="2"/>
    <x v="0"/>
    <n v="701.13202620000004"/>
    <x v="394"/>
  </r>
  <r>
    <s v="haircare"/>
    <x v="395"/>
    <n v="37.47"/>
    <n v="2"/>
    <n v="792"/>
    <x v="23"/>
    <n v="35"/>
    <s v="High Risk"/>
    <n v="8"/>
    <x v="0"/>
    <x v="395"/>
    <x v="4"/>
    <s v="Michigan"/>
    <n v="8"/>
    <n v="323"/>
    <x v="21"/>
    <x v="395"/>
    <s v="Fail"/>
    <x v="395"/>
    <x v="2"/>
    <x v="1"/>
    <n v="184.12114320000001"/>
    <x v="395"/>
  </r>
  <r>
    <s v="skincare"/>
    <x v="396"/>
    <n v="29.65"/>
    <n v="19"/>
    <n v="803"/>
    <x v="4"/>
    <n v="95"/>
    <s v="High Risk"/>
    <n v="3"/>
    <x v="1"/>
    <x v="396"/>
    <x v="3"/>
    <s v="New York"/>
    <n v="29"/>
    <n v="617"/>
    <x v="29"/>
    <x v="396"/>
    <s v="Pass"/>
    <x v="396"/>
    <x v="2"/>
    <x v="1"/>
    <n v="557.06512880000002"/>
    <x v="396"/>
  </r>
  <r>
    <s v="haircare"/>
    <x v="397"/>
    <n v="41.07"/>
    <n v="45"/>
    <n v="714"/>
    <x v="18"/>
    <n v="15"/>
    <s v="Low Risk"/>
    <n v="6"/>
    <x v="1"/>
    <x v="397"/>
    <x v="3"/>
    <s v="Michigan"/>
    <n v="11"/>
    <n v="733"/>
    <x v="27"/>
    <x v="397"/>
    <s v="Pending"/>
    <x v="397"/>
    <x v="2"/>
    <x v="0"/>
    <n v="246.0119933"/>
    <x v="397"/>
  </r>
  <r>
    <s v="haircare"/>
    <x v="398"/>
    <n v="61.08"/>
    <n v="14"/>
    <n v="50"/>
    <x v="26"/>
    <n v="16"/>
    <s v="High Risk"/>
    <n v="5"/>
    <x v="3"/>
    <x v="398"/>
    <x v="2"/>
    <s v="Arizona"/>
    <n v="5"/>
    <n v="335"/>
    <x v="18"/>
    <x v="398"/>
    <s v="Fail"/>
    <x v="398"/>
    <x v="0"/>
    <x v="0"/>
    <n v="474.71454890000001"/>
    <x v="398"/>
  </r>
  <r>
    <s v="skincare"/>
    <x v="399"/>
    <n v="30.47"/>
    <n v="24"/>
    <n v="782"/>
    <x v="1"/>
    <n v="13"/>
    <s v="Low Risk"/>
    <n v="6"/>
    <x v="3"/>
    <x v="399"/>
    <x v="3"/>
    <s v="Michigan"/>
    <n v="18"/>
    <n v="526"/>
    <x v="13"/>
    <x v="399"/>
    <s v="Pass"/>
    <x v="399"/>
    <x v="1"/>
    <x v="0"/>
    <n v="849.68386720000001"/>
    <x v="399"/>
  </r>
  <r>
    <s v="skincare"/>
    <x v="400"/>
    <n v="64.290000000000006"/>
    <n v="93"/>
    <n v="323"/>
    <x v="26"/>
    <n v="35"/>
    <s v="Low Risk"/>
    <n v="1"/>
    <x v="3"/>
    <x v="400"/>
    <x v="1"/>
    <s v="Arizona"/>
    <n v="23"/>
    <n v="215"/>
    <x v="17"/>
    <x v="400"/>
    <s v="Fail"/>
    <x v="400"/>
    <x v="2"/>
    <x v="1"/>
    <n v="988.45105569999998"/>
    <x v="400"/>
  </r>
  <r>
    <s v="skincare"/>
    <x v="401"/>
    <n v="43.89"/>
    <n v="77"/>
    <n v="788"/>
    <x v="19"/>
    <n v="75"/>
    <s v="Low Risk"/>
    <n v="7"/>
    <x v="1"/>
    <x v="401"/>
    <x v="1"/>
    <s v="Texas"/>
    <n v="30"/>
    <n v="262"/>
    <x v="21"/>
    <x v="401"/>
    <s v="Pending"/>
    <x v="401"/>
    <x v="2"/>
    <x v="2"/>
    <n v="386.16384849999997"/>
    <x v="401"/>
  </r>
  <r>
    <s v="skincare"/>
    <x v="402"/>
    <n v="57.44"/>
    <n v="70"/>
    <n v="140"/>
    <x v="18"/>
    <n v="59"/>
    <s v="Low Risk"/>
    <n v="9"/>
    <x v="3"/>
    <x v="402"/>
    <x v="3"/>
    <s v="Arizona"/>
    <n v="18"/>
    <n v="325"/>
    <x v="0"/>
    <x v="402"/>
    <s v="Pending"/>
    <x v="402"/>
    <x v="1"/>
    <x v="2"/>
    <n v="578.76012890000004"/>
    <x v="402"/>
  </r>
  <r>
    <s v="haircare"/>
    <x v="403"/>
    <n v="46.43"/>
    <n v="16"/>
    <n v="469"/>
    <x v="27"/>
    <n v="21"/>
    <s v="High Risk"/>
    <n v="2"/>
    <x v="0"/>
    <x v="403"/>
    <x v="4"/>
    <s v="Michigan"/>
    <n v="14"/>
    <n v="329"/>
    <x v="21"/>
    <x v="403"/>
    <s v="Pass"/>
    <x v="403"/>
    <x v="1"/>
    <x v="1"/>
    <n v="560.16822190000005"/>
    <x v="403"/>
  </r>
  <r>
    <s v="haircare"/>
    <x v="404"/>
    <n v="32.97"/>
    <n v="83"/>
    <n v="786"/>
    <x v="7"/>
    <n v="54"/>
    <s v="Low Risk"/>
    <n v="5"/>
    <x v="3"/>
    <x v="404"/>
    <x v="1"/>
    <s v="Texas"/>
    <n v="22"/>
    <n v="281"/>
    <x v="22"/>
    <x v="404"/>
    <s v="Pending"/>
    <x v="404"/>
    <x v="1"/>
    <x v="0"/>
    <n v="958.96135879999997"/>
    <x v="404"/>
  </r>
  <r>
    <s v="haircare"/>
    <x v="405"/>
    <n v="95.1"/>
    <n v="99"/>
    <n v="801"/>
    <x v="25"/>
    <n v="75"/>
    <s v="Low Risk"/>
    <n v="4"/>
    <x v="1"/>
    <x v="405"/>
    <x v="2"/>
    <s v="Texas"/>
    <n v="10"/>
    <n v="348"/>
    <x v="10"/>
    <x v="405"/>
    <s v="Fail"/>
    <x v="405"/>
    <x v="2"/>
    <x v="2"/>
    <n v="530.72535919999996"/>
    <x v="405"/>
  </r>
  <r>
    <s v="skincare"/>
    <x v="406"/>
    <n v="77.540000000000006"/>
    <n v="8"/>
    <n v="333"/>
    <x v="27"/>
    <n v="30"/>
    <s v="High Risk"/>
    <n v="6"/>
    <x v="3"/>
    <x v="406"/>
    <x v="1"/>
    <s v="Michigan"/>
    <n v="3"/>
    <n v="417"/>
    <x v="3"/>
    <x v="406"/>
    <s v="Pending"/>
    <x v="406"/>
    <x v="0"/>
    <x v="0"/>
    <n v="729.19558489999997"/>
    <x v="406"/>
  </r>
  <r>
    <s v="skincare"/>
    <x v="407"/>
    <n v="18.309999999999999"/>
    <n v="37"/>
    <n v="892"/>
    <x v="11"/>
    <n v="48"/>
    <s v="High Risk"/>
    <n v="6"/>
    <x v="1"/>
    <x v="407"/>
    <x v="1"/>
    <s v="Washington"/>
    <n v="9"/>
    <n v="309"/>
    <x v="21"/>
    <x v="407"/>
    <s v="Pending"/>
    <x v="407"/>
    <x v="2"/>
    <x v="1"/>
    <n v="929.61030979999998"/>
    <x v="407"/>
  </r>
  <r>
    <s v="skincare"/>
    <x v="408"/>
    <n v="51.31"/>
    <n v="59"/>
    <n v="372"/>
    <x v="7"/>
    <n v="86"/>
    <s v="High Risk"/>
    <n v="2"/>
    <x v="0"/>
    <x v="408"/>
    <x v="2"/>
    <s v="Washington"/>
    <n v="11"/>
    <n v="491"/>
    <x v="21"/>
    <x v="408"/>
    <s v="Pass"/>
    <x v="408"/>
    <x v="1"/>
    <x v="1"/>
    <n v="911.91001440000002"/>
    <x v="408"/>
  </r>
  <r>
    <s v="haircare"/>
    <x v="409"/>
    <n v="89.98"/>
    <n v="62"/>
    <n v="563"/>
    <x v="21"/>
    <n v="38"/>
    <s v="Low Risk"/>
    <n v="4"/>
    <x v="3"/>
    <x v="409"/>
    <x v="1"/>
    <s v="Arizona"/>
    <n v="12"/>
    <n v="956"/>
    <x v="28"/>
    <x v="409"/>
    <s v="Pending"/>
    <x v="409"/>
    <x v="2"/>
    <x v="1"/>
    <n v="925.71059969999999"/>
    <x v="409"/>
  </r>
  <r>
    <s v="skincare"/>
    <x v="410"/>
    <n v="80.989999999999995"/>
    <n v="85"/>
    <n v="493"/>
    <x v="6"/>
    <n v="31"/>
    <s v="Low Risk"/>
    <n v="1"/>
    <x v="3"/>
    <x v="410"/>
    <x v="4"/>
    <s v="Alaska"/>
    <n v="12"/>
    <n v="195"/>
    <x v="12"/>
    <x v="410"/>
    <s v="Pass"/>
    <x v="410"/>
    <x v="1"/>
    <x v="1"/>
    <n v="937.59625359999995"/>
    <x v="410"/>
  </r>
  <r>
    <s v="haircare"/>
    <x v="411"/>
    <n v="45.4"/>
    <n v="1"/>
    <n v="538"/>
    <x v="5"/>
    <n v="78"/>
    <s v="High Risk"/>
    <n v="9"/>
    <x v="0"/>
    <x v="411"/>
    <x v="2"/>
    <s v="Alaska"/>
    <n v="3"/>
    <n v="993"/>
    <x v="24"/>
    <x v="411"/>
    <s v="Pending"/>
    <x v="411"/>
    <x v="2"/>
    <x v="0"/>
    <n v="343.40156689999998"/>
    <x v="411"/>
  </r>
  <r>
    <s v="skincare"/>
    <x v="412"/>
    <n v="7.13"/>
    <n v="87"/>
    <n v="668"/>
    <x v="10"/>
    <n v="24"/>
    <s v="Low Risk"/>
    <n v="7"/>
    <x v="3"/>
    <x v="412"/>
    <x v="3"/>
    <s v="Texas"/>
    <n v="21"/>
    <n v="957"/>
    <x v="25"/>
    <x v="412"/>
    <s v="Pending"/>
    <x v="412"/>
    <x v="1"/>
    <x v="1"/>
    <n v="460.32003479999997"/>
    <x v="412"/>
  </r>
  <r>
    <s v="haircare"/>
    <x v="413"/>
    <n v="30.52"/>
    <n v="71"/>
    <n v="750"/>
    <x v="10"/>
    <n v="49"/>
    <s v="Low Risk"/>
    <n v="7"/>
    <x v="0"/>
    <x v="413"/>
    <x v="4"/>
    <s v="Alaska"/>
    <n v="7"/>
    <n v="855"/>
    <x v="27"/>
    <x v="413"/>
    <s v="Pending"/>
    <x v="413"/>
    <x v="0"/>
    <x v="2"/>
    <n v="883.35631739999997"/>
    <x v="413"/>
  </r>
  <r>
    <s v="skincare"/>
    <x v="414"/>
    <n v="56.46"/>
    <n v="10"/>
    <n v="155"/>
    <x v="8"/>
    <n v="96"/>
    <s v="High Risk"/>
    <n v="3"/>
    <x v="3"/>
    <x v="414"/>
    <x v="0"/>
    <s v="Michigan"/>
    <n v="14"/>
    <n v="185"/>
    <x v="28"/>
    <x v="414"/>
    <s v="Pass"/>
    <x v="414"/>
    <x v="1"/>
    <x v="0"/>
    <n v="423.24564190000001"/>
    <x v="414"/>
  </r>
  <r>
    <s v="haircare"/>
    <x v="415"/>
    <n v="65.180000000000007"/>
    <n v="63"/>
    <n v="290"/>
    <x v="16"/>
    <n v="32"/>
    <s v="Low Risk"/>
    <n v="3"/>
    <x v="0"/>
    <x v="415"/>
    <x v="0"/>
    <s v="Washington"/>
    <n v="24"/>
    <n v="514"/>
    <x v="21"/>
    <x v="415"/>
    <s v="Pass"/>
    <x v="415"/>
    <x v="1"/>
    <x v="1"/>
    <n v="640.22772959999998"/>
    <x v="415"/>
  </r>
  <r>
    <s v="haircare"/>
    <x v="416"/>
    <n v="29.5"/>
    <n v="76"/>
    <n v="647"/>
    <x v="7"/>
    <n v="55"/>
    <s v="Low Risk"/>
    <n v="1"/>
    <x v="3"/>
    <x v="416"/>
    <x v="5"/>
    <s v="Arizona"/>
    <n v="28"/>
    <n v="493"/>
    <x v="4"/>
    <x v="416"/>
    <s v="Pending"/>
    <x v="416"/>
    <x v="1"/>
    <x v="0"/>
    <n v="206.24905649999999"/>
    <x v="416"/>
  </r>
  <r>
    <s v="haircare"/>
    <x v="417"/>
    <n v="18.239999999999998"/>
    <n v="80"/>
    <n v="143"/>
    <x v="0"/>
    <n v="79"/>
    <s v="Low Risk"/>
    <n v="3"/>
    <x v="3"/>
    <x v="417"/>
    <x v="3"/>
    <s v="Arizona"/>
    <n v="11"/>
    <n v="795"/>
    <x v="7"/>
    <x v="417"/>
    <s v="Pass"/>
    <x v="417"/>
    <x v="0"/>
    <x v="1"/>
    <n v="150.64748929999999"/>
    <x v="417"/>
  </r>
  <r>
    <s v="skincare"/>
    <x v="418"/>
    <n v="84.32"/>
    <n v="71"/>
    <n v="105"/>
    <x v="7"/>
    <n v="58"/>
    <s v="Low Risk"/>
    <n v="3"/>
    <x v="0"/>
    <x v="418"/>
    <x v="4"/>
    <s v="Arizona"/>
    <n v="7"/>
    <n v="732"/>
    <x v="2"/>
    <x v="418"/>
    <s v="Pending"/>
    <x v="418"/>
    <x v="0"/>
    <x v="0"/>
    <n v="470.79459050000003"/>
    <x v="418"/>
  </r>
  <r>
    <s v="skincare"/>
    <x v="419"/>
    <n v="98.52"/>
    <n v="20"/>
    <n v="419"/>
    <x v="9"/>
    <n v="99"/>
    <s v="High Risk"/>
    <n v="4"/>
    <x v="3"/>
    <x v="419"/>
    <x v="4"/>
    <s v="Michigan"/>
    <n v="25"/>
    <n v="943"/>
    <x v="25"/>
    <x v="419"/>
    <s v="Pending"/>
    <x v="419"/>
    <x v="1"/>
    <x v="0"/>
    <n v="621.02487929999995"/>
    <x v="419"/>
  </r>
  <r>
    <s v="haircare"/>
    <x v="420"/>
    <n v="54.94"/>
    <n v="17"/>
    <n v="669"/>
    <x v="2"/>
    <n v="3"/>
    <s v="Low Risk"/>
    <n v="4"/>
    <x v="3"/>
    <x v="420"/>
    <x v="4"/>
    <s v="Texas"/>
    <n v="21"/>
    <n v="600"/>
    <x v="19"/>
    <x v="420"/>
    <s v="Fail"/>
    <x v="420"/>
    <x v="0"/>
    <x v="1"/>
    <n v="453.42920199999998"/>
    <x v="420"/>
  </r>
  <r>
    <s v="haircare"/>
    <x v="421"/>
    <n v="21.31"/>
    <n v="93"/>
    <n v="657"/>
    <x v="14"/>
    <n v="80"/>
    <s v="Low Risk"/>
    <n v="3"/>
    <x v="1"/>
    <x v="421"/>
    <x v="2"/>
    <s v="Washington"/>
    <n v="10"/>
    <n v="703"/>
    <x v="19"/>
    <x v="421"/>
    <s v="Pending"/>
    <x v="421"/>
    <x v="0"/>
    <x v="1"/>
    <n v="619.96219310000004"/>
    <x v="421"/>
  </r>
  <r>
    <s v="skincare"/>
    <x v="422"/>
    <n v="30.87"/>
    <n v="63"/>
    <n v="1"/>
    <x v="5"/>
    <n v="69"/>
    <s v="High Risk"/>
    <n v="8"/>
    <x v="3"/>
    <x v="422"/>
    <x v="5"/>
    <s v="Washington"/>
    <n v="11"/>
    <n v="681"/>
    <x v="17"/>
    <x v="422"/>
    <s v="Pass"/>
    <x v="422"/>
    <x v="0"/>
    <x v="0"/>
    <n v="563.57593859999997"/>
    <x v="422"/>
  </r>
  <r>
    <s v="haircare"/>
    <x v="423"/>
    <n v="6.75"/>
    <n v="81"/>
    <n v="944"/>
    <x v="19"/>
    <n v="85"/>
    <s v="High Risk"/>
    <n v="8"/>
    <x v="3"/>
    <x v="423"/>
    <x v="1"/>
    <s v="Washington"/>
    <n v="15"/>
    <n v="232"/>
    <x v="0"/>
    <x v="423"/>
    <s v="Pass"/>
    <x v="423"/>
    <x v="2"/>
    <x v="1"/>
    <n v="717.13650640000003"/>
    <x v="423"/>
  </r>
  <r>
    <s v="skincare"/>
    <x v="424"/>
    <n v="91.86"/>
    <n v="94"/>
    <n v="588"/>
    <x v="28"/>
    <n v="10"/>
    <s v="Low Risk"/>
    <n v="1"/>
    <x v="1"/>
    <x v="424"/>
    <x v="4"/>
    <s v="Texas"/>
    <n v="19"/>
    <n v="890"/>
    <x v="1"/>
    <x v="424"/>
    <s v="nan"/>
    <x v="424"/>
    <x v="2"/>
    <x v="2"/>
    <n v="684.57918800000004"/>
    <x v="424"/>
  </r>
  <r>
    <s v="skincare"/>
    <x v="425"/>
    <n v="16.190000000000001"/>
    <n v="37"/>
    <n v="643"/>
    <x v="6"/>
    <n v="83"/>
    <s v="High Risk"/>
    <n v="7"/>
    <x v="1"/>
    <x v="425"/>
    <x v="0"/>
    <s v="Michigan"/>
    <n v="16"/>
    <n v="748"/>
    <x v="9"/>
    <x v="425"/>
    <s v="nan"/>
    <x v="425"/>
    <x v="0"/>
    <x v="0"/>
    <n v="481.82113290000001"/>
    <x v="425"/>
  </r>
  <r>
    <s v="haircare"/>
    <x v="426"/>
    <n v="59.77"/>
    <n v="31"/>
    <n v="89"/>
    <x v="0"/>
    <n v="25"/>
    <s v="Low Risk"/>
    <n v="2"/>
    <x v="3"/>
    <x v="426"/>
    <x v="3"/>
    <s v="Michigan"/>
    <n v="22"/>
    <n v="413"/>
    <x v="4"/>
    <x v="426"/>
    <s v="Fail"/>
    <x v="426"/>
    <x v="0"/>
    <x v="0"/>
    <n v="482.49571639999999"/>
    <x v="426"/>
  </r>
  <r>
    <s v="haircare"/>
    <x v="427"/>
    <n v="31.04"/>
    <n v="10"/>
    <n v="344"/>
    <x v="18"/>
    <n v="68"/>
    <s v="High Risk"/>
    <n v="1"/>
    <x v="0"/>
    <x v="427"/>
    <x v="4"/>
    <s v="Washington"/>
    <n v="21"/>
    <n v="798"/>
    <x v="22"/>
    <x v="427"/>
    <s v="Pending"/>
    <x v="427"/>
    <x v="2"/>
    <x v="0"/>
    <n v="226.70050599999999"/>
    <x v="427"/>
  </r>
  <r>
    <s v="NaN"/>
    <x v="428"/>
    <n v="57.65"/>
    <n v="44"/>
    <n v="349"/>
    <x v="27"/>
    <n v="61"/>
    <s v="High Risk"/>
    <n v="3"/>
    <x v="3"/>
    <x v="428"/>
    <x v="0"/>
    <s v="Michigan"/>
    <n v="28"/>
    <n v="320"/>
    <x v="7"/>
    <x v="428"/>
    <s v="Fail"/>
    <x v="428"/>
    <x v="2"/>
    <x v="0"/>
    <n v="561.91471490000004"/>
    <x v="428"/>
  </r>
  <r>
    <s v="haircare"/>
    <x v="429"/>
    <n v="66.88"/>
    <n v="88"/>
    <n v="458"/>
    <x v="22"/>
    <n v="29"/>
    <s v="Low Risk"/>
    <n v="4"/>
    <x v="1"/>
    <x v="429"/>
    <x v="4"/>
    <s v="Texas"/>
    <n v="20"/>
    <n v="537"/>
    <x v="24"/>
    <x v="429"/>
    <s v="Pass"/>
    <x v="429"/>
    <x v="0"/>
    <x v="2"/>
    <n v="628.46121530000005"/>
    <x v="429"/>
  </r>
  <r>
    <s v="haircare"/>
    <x v="430"/>
    <n v="83.83"/>
    <n v="32"/>
    <n v="262"/>
    <x v="23"/>
    <n v="19"/>
    <s v="Low Risk"/>
    <n v="6"/>
    <x v="0"/>
    <x v="430"/>
    <x v="5"/>
    <s v="Michigan"/>
    <n v="12"/>
    <n v="145"/>
    <x v="1"/>
    <x v="430"/>
    <s v="Pass"/>
    <x v="430"/>
    <x v="2"/>
    <x v="1"/>
    <n v="528.84045760000004"/>
    <x v="430"/>
  </r>
  <r>
    <s v="skincare"/>
    <x v="431"/>
    <n v="6.04"/>
    <n v="7"/>
    <n v="107"/>
    <x v="3"/>
    <n v="66"/>
    <s v="High Risk"/>
    <n v="4"/>
    <x v="3"/>
    <x v="431"/>
    <x v="3"/>
    <s v="Alaska"/>
    <n v="23"/>
    <n v="291"/>
    <x v="11"/>
    <x v="431"/>
    <s v="Pass"/>
    <x v="431"/>
    <x v="1"/>
    <x v="1"/>
    <n v="749.48368979999998"/>
    <x v="431"/>
  </r>
  <r>
    <s v="NaN"/>
    <x v="432"/>
    <n v="18"/>
    <n v="10"/>
    <n v="585"/>
    <x v="19"/>
    <n v="74"/>
    <s v="High Risk"/>
    <n v="8"/>
    <x v="1"/>
    <x v="432"/>
    <x v="0"/>
    <s v="Arizona"/>
    <n v="13"/>
    <n v="619"/>
    <x v="12"/>
    <x v="432"/>
    <s v="Fail"/>
    <x v="432"/>
    <x v="1"/>
    <x v="1"/>
    <n v="167.19548019999999"/>
    <x v="432"/>
  </r>
  <r>
    <s v="skincare"/>
    <x v="433"/>
    <n v="90.5"/>
    <n v="85"/>
    <n v="38"/>
    <x v="21"/>
    <n v="61"/>
    <s v="Low Risk"/>
    <n v="4"/>
    <x v="1"/>
    <x v="433"/>
    <x v="2"/>
    <s v="Texas"/>
    <n v="5"/>
    <n v="478"/>
    <x v="5"/>
    <x v="433"/>
    <s v="Fail"/>
    <x v="433"/>
    <x v="1"/>
    <x v="1"/>
    <n v="922.9963328"/>
    <x v="433"/>
  </r>
  <r>
    <s v="haircare"/>
    <x v="434"/>
    <n v="88.02"/>
    <n v="50"/>
    <n v="908"/>
    <x v="20"/>
    <n v="43"/>
    <s v="Low Risk"/>
    <n v="2"/>
    <x v="1"/>
    <x v="434"/>
    <x v="3"/>
    <s v="Alaska"/>
    <n v="4"/>
    <n v="887"/>
    <x v="29"/>
    <x v="434"/>
    <s v="Pending"/>
    <x v="434"/>
    <x v="2"/>
    <x v="2"/>
    <n v="118.5790956"/>
    <x v="434"/>
  </r>
  <r>
    <s v="haircare"/>
    <x v="435"/>
    <n v="61.75"/>
    <n v="87"/>
    <n v="158"/>
    <x v="10"/>
    <n v="25"/>
    <s v="Low Risk"/>
    <n v="3"/>
    <x v="3"/>
    <x v="435"/>
    <x v="3"/>
    <s v="Alaska"/>
    <n v="28"/>
    <n v="790"/>
    <x v="8"/>
    <x v="435"/>
    <s v="Fail"/>
    <x v="435"/>
    <x v="1"/>
    <x v="0"/>
    <n v="966.11512010000001"/>
    <x v="435"/>
  </r>
  <r>
    <s v="skincare"/>
    <x v="436"/>
    <n v="62.05"/>
    <n v="40"/>
    <n v="582"/>
    <x v="22"/>
    <n v="20"/>
    <s v="Low Risk"/>
    <n v="6"/>
    <x v="1"/>
    <x v="436"/>
    <x v="4"/>
    <s v="Texas"/>
    <n v="14"/>
    <n v="433"/>
    <x v="20"/>
    <x v="436"/>
    <s v="Pass"/>
    <x v="436"/>
    <x v="2"/>
    <x v="3"/>
    <n v="516.12004079999997"/>
    <x v="436"/>
  </r>
  <r>
    <s v="skincare"/>
    <x v="437"/>
    <n v="68.180000000000007"/>
    <n v="16"/>
    <n v="958"/>
    <x v="10"/>
    <n v="48"/>
    <s v="High Risk"/>
    <n v="8"/>
    <x v="3"/>
    <x v="437"/>
    <x v="1"/>
    <s v="Arizona"/>
    <n v="8"/>
    <n v="138"/>
    <x v="5"/>
    <x v="437"/>
    <s v="Pass"/>
    <x v="437"/>
    <x v="1"/>
    <x v="1"/>
    <n v="471.4029496"/>
    <x v="437"/>
  </r>
  <r>
    <s v="haircare"/>
    <x v="438"/>
    <n v="21.66"/>
    <n v="75"/>
    <n v="311"/>
    <x v="13"/>
    <n v="83"/>
    <s v="High Risk"/>
    <n v="8"/>
    <x v="3"/>
    <x v="438"/>
    <x v="4"/>
    <s v="Michigan"/>
    <n v="9"/>
    <n v="392"/>
    <x v="1"/>
    <x v="438"/>
    <s v="Fail"/>
    <x v="438"/>
    <x v="0"/>
    <x v="1"/>
    <n v="330.7996157"/>
    <x v="438"/>
  </r>
  <r>
    <s v="skincare"/>
    <x v="439"/>
    <n v="91.87"/>
    <n v="45"/>
    <n v="240"/>
    <x v="6"/>
    <n v="87"/>
    <s v="High Risk"/>
    <n v="9"/>
    <x v="3"/>
    <x v="439"/>
    <x v="1"/>
    <s v="Alaska"/>
    <n v="25"/>
    <n v="789"/>
    <x v="1"/>
    <x v="439"/>
    <s v="Pending"/>
    <x v="439"/>
    <x v="2"/>
    <x v="3"/>
    <n v="109.06402129999999"/>
    <x v="439"/>
  </r>
  <r>
    <s v="haircare"/>
    <x v="440"/>
    <n v="44.78"/>
    <n v="31"/>
    <n v="937"/>
    <x v="4"/>
    <n v="24"/>
    <s v="Low Risk"/>
    <n v="7"/>
    <x v="3"/>
    <x v="440"/>
    <x v="4"/>
    <s v="Arizona"/>
    <n v="19"/>
    <n v="261"/>
    <x v="9"/>
    <x v="440"/>
    <s v="Fail"/>
    <x v="440"/>
    <x v="2"/>
    <x v="2"/>
    <n v="347.311238"/>
    <x v="440"/>
  </r>
  <r>
    <s v="skincare"/>
    <x v="441"/>
    <n v="41.4"/>
    <n v="78"/>
    <n v="444"/>
    <x v="12"/>
    <n v="11"/>
    <s v="Low Risk"/>
    <n v="2"/>
    <x v="0"/>
    <x v="441"/>
    <x v="3"/>
    <s v="Texas"/>
    <n v="3"/>
    <n v="430"/>
    <x v="14"/>
    <x v="441"/>
    <s v="Pending"/>
    <x v="441"/>
    <x v="0"/>
    <x v="0"/>
    <n v="198.45993290000001"/>
    <x v="441"/>
  </r>
  <r>
    <s v="haircare"/>
    <x v="442"/>
    <n v="54.3"/>
    <n v="79"/>
    <n v="297"/>
    <x v="28"/>
    <n v="98"/>
    <s v="High Risk"/>
    <n v="8"/>
    <x v="1"/>
    <x v="442"/>
    <x v="1"/>
    <s v="Michigan"/>
    <n v="5"/>
    <n v="985"/>
    <x v="10"/>
    <x v="442"/>
    <s v="Pass"/>
    <x v="442"/>
    <x v="1"/>
    <x v="0"/>
    <n v="693.83875839999996"/>
    <x v="442"/>
  </r>
  <r>
    <s v="haircare"/>
    <x v="443"/>
    <n v="9.4600000000000009"/>
    <n v="53"/>
    <n v="951"/>
    <x v="1"/>
    <n v="55"/>
    <s v="High Risk"/>
    <n v="7"/>
    <x v="3"/>
    <x v="443"/>
    <x v="3"/>
    <s v="Michigan"/>
    <n v="21"/>
    <n v="203"/>
    <x v="21"/>
    <x v="443"/>
    <s v="Pending"/>
    <x v="443"/>
    <x v="0"/>
    <x v="2"/>
    <n v="387.16747509999999"/>
    <x v="443"/>
  </r>
  <r>
    <s v="haircare"/>
    <x v="444"/>
    <n v="20.8"/>
    <n v="85"/>
    <n v="35"/>
    <x v="17"/>
    <n v="28"/>
    <s v="Low Risk"/>
    <n v="8"/>
    <x v="1"/>
    <x v="444"/>
    <x v="3"/>
    <s v="Alaska"/>
    <n v="26"/>
    <n v="260"/>
    <x v="18"/>
    <x v="444"/>
    <s v="Fail"/>
    <x v="444"/>
    <x v="0"/>
    <x v="0"/>
    <n v="790.46139559999995"/>
    <x v="444"/>
  </r>
  <r>
    <s v="haircare"/>
    <x v="445"/>
    <n v="75.11"/>
    <n v="91"/>
    <n v="83"/>
    <x v="15"/>
    <n v="69"/>
    <s v="Low Risk"/>
    <n v="3"/>
    <x v="1"/>
    <x v="445"/>
    <x v="4"/>
    <s v="Texas"/>
    <n v="18"/>
    <n v="898"/>
    <x v="19"/>
    <x v="445"/>
    <s v="Pass"/>
    <x v="445"/>
    <x v="0"/>
    <x v="1"/>
    <n v="286.2245686"/>
    <x v="445"/>
  </r>
  <r>
    <s v="haircare"/>
    <x v="446"/>
    <n v="12.87"/>
    <n v="19"/>
    <n v="451"/>
    <x v="28"/>
    <n v="63"/>
    <s v="High Risk"/>
    <n v="7"/>
    <x v="3"/>
    <x v="446"/>
    <x v="3"/>
    <s v="Alaska"/>
    <n v="1"/>
    <n v="734"/>
    <x v="1"/>
    <x v="446"/>
    <s v="Fail"/>
    <x v="446"/>
    <x v="2"/>
    <x v="2"/>
    <n v="910.21137169999997"/>
    <x v="446"/>
  </r>
  <r>
    <s v="skincare"/>
    <x v="447"/>
    <n v="62.3"/>
    <n v="32"/>
    <n v="885"/>
    <x v="16"/>
    <n v="59"/>
    <s v="High Risk"/>
    <n v="9"/>
    <x v="3"/>
    <x v="447"/>
    <x v="2"/>
    <s v="New York"/>
    <n v="8"/>
    <n v="153"/>
    <x v="15"/>
    <x v="447"/>
    <s v="Pending"/>
    <x v="447"/>
    <x v="0"/>
    <x v="0"/>
    <n v="570.68336360000001"/>
    <x v="447"/>
  </r>
  <r>
    <s v="skincare"/>
    <x v="448"/>
    <n v="28.31"/>
    <n v="73"/>
    <n v="774"/>
    <x v="27"/>
    <n v="5"/>
    <s v="Low Risk"/>
    <n v="3"/>
    <x v="0"/>
    <x v="448"/>
    <x v="0"/>
    <s v="Michigan"/>
    <n v="19"/>
    <n v="133"/>
    <x v="12"/>
    <x v="448"/>
    <s v="Pending"/>
    <x v="448"/>
    <x v="1"/>
    <x v="1"/>
    <n v="203.05557680000001"/>
    <x v="448"/>
  </r>
  <r>
    <s v="skincare"/>
    <x v="449"/>
    <n v="41.98"/>
    <n v="39"/>
    <n v="821"/>
    <x v="11"/>
    <n v="51"/>
    <s v="High Risk"/>
    <n v="6"/>
    <x v="3"/>
    <x v="449"/>
    <x v="4"/>
    <s v="Michigan"/>
    <n v="17"/>
    <n v="341"/>
    <x v="16"/>
    <x v="449"/>
    <s v="Pass"/>
    <x v="449"/>
    <x v="2"/>
    <x v="0"/>
    <n v="460.76071209999998"/>
    <x v="449"/>
  </r>
  <r>
    <s v="skincare"/>
    <x v="450"/>
    <n v="32.43"/>
    <n v="31"/>
    <n v="384"/>
    <x v="24"/>
    <n v="21"/>
    <s v="Low Risk"/>
    <n v="2"/>
    <x v="0"/>
    <x v="450"/>
    <x v="4"/>
    <s v="Michigan"/>
    <n v="17"/>
    <n v="989"/>
    <x v="2"/>
    <x v="450"/>
    <s v="Pending"/>
    <x v="450"/>
    <x v="2"/>
    <x v="0"/>
    <n v="286.08447169999999"/>
    <x v="450"/>
  </r>
  <r>
    <s v="haircare"/>
    <x v="451"/>
    <n v="38.79"/>
    <n v="96"/>
    <n v="171"/>
    <x v="9"/>
    <n v="12"/>
    <s v="Low Risk"/>
    <n v="2"/>
    <x v="1"/>
    <x v="451"/>
    <x v="1"/>
    <s v="Arizona"/>
    <n v="11"/>
    <n v="212"/>
    <x v="3"/>
    <x v="451"/>
    <s v="Pass"/>
    <x v="451"/>
    <x v="2"/>
    <x v="2"/>
    <n v="279.71688360000002"/>
    <x v="451"/>
  </r>
  <r>
    <s v="haircare"/>
    <x v="452"/>
    <n v="73.31"/>
    <n v="1"/>
    <n v="375"/>
    <x v="13"/>
    <n v="50"/>
    <s v="High Risk"/>
    <n v="5"/>
    <x v="1"/>
    <x v="452"/>
    <x v="4"/>
    <s v="Arizona"/>
    <n v="2"/>
    <n v="417"/>
    <x v="19"/>
    <x v="452"/>
    <s v="Pass"/>
    <x v="452"/>
    <x v="2"/>
    <x v="1"/>
    <n v="555.73276390000001"/>
    <x v="452"/>
  </r>
  <r>
    <s v="skincare"/>
    <x v="453"/>
    <n v="33.229999999999997"/>
    <n v="96"/>
    <n v="684"/>
    <x v="28"/>
    <n v="4"/>
    <s v="Low Risk"/>
    <n v="5"/>
    <x v="1"/>
    <x v="453"/>
    <x v="1"/>
    <s v="Michigan"/>
    <n v="6"/>
    <n v="122"/>
    <x v="16"/>
    <x v="453"/>
    <s v="Fail"/>
    <x v="453"/>
    <x v="1"/>
    <x v="2"/>
    <n v="704.70281409999996"/>
    <x v="453"/>
  </r>
  <r>
    <s v="haircare"/>
    <x v="454"/>
    <n v="58.81"/>
    <n v="32"/>
    <n v="361"/>
    <x v="1"/>
    <n v="42"/>
    <s v="High Risk"/>
    <n v="7"/>
    <x v="1"/>
    <x v="454"/>
    <x v="2"/>
    <s v="Texas"/>
    <n v="22"/>
    <n v="657"/>
    <x v="6"/>
    <x v="454"/>
    <s v="Pending"/>
    <x v="454"/>
    <x v="1"/>
    <x v="0"/>
    <n v="920.45638499999995"/>
    <x v="454"/>
  </r>
  <r>
    <s v="skincare"/>
    <x v="455"/>
    <n v="50.22"/>
    <n v="76"/>
    <n v="558"/>
    <x v="27"/>
    <n v="84"/>
    <s v="High Risk"/>
    <n v="2"/>
    <x v="3"/>
    <x v="455"/>
    <x v="4"/>
    <s v="Texas"/>
    <n v="14"/>
    <n v="923"/>
    <x v="16"/>
    <x v="455"/>
    <s v="Pending"/>
    <x v="455"/>
    <x v="1"/>
    <x v="0"/>
    <n v="551.94580970000004"/>
    <x v="455"/>
  </r>
  <r>
    <s v="haircare"/>
    <x v="456"/>
    <n v="68.05"/>
    <n v="29"/>
    <n v="890"/>
    <x v="24"/>
    <n v="38"/>
    <s v="High Risk"/>
    <n v="7"/>
    <x v="3"/>
    <x v="456"/>
    <x v="1"/>
    <s v="Michigan"/>
    <n v="3"/>
    <n v="746"/>
    <x v="24"/>
    <x v="456"/>
    <s v="Fail"/>
    <x v="456"/>
    <x v="1"/>
    <x v="1"/>
    <n v="969.25489760000005"/>
    <x v="456"/>
  </r>
  <r>
    <s v="skincare"/>
    <x v="457"/>
    <n v="94"/>
    <n v="32"/>
    <n v="140"/>
    <x v="1"/>
    <n v="25"/>
    <s v="Low Risk"/>
    <n v="5"/>
    <x v="1"/>
    <x v="457"/>
    <x v="0"/>
    <s v="Washington"/>
    <n v="12"/>
    <n v="217"/>
    <x v="12"/>
    <x v="457"/>
    <s v="Pass"/>
    <x v="457"/>
    <x v="1"/>
    <x v="2"/>
    <n v="947.47136690000002"/>
    <x v="457"/>
  </r>
  <r>
    <s v="haircare"/>
    <x v="458"/>
    <n v="74.59"/>
    <n v="76"/>
    <n v="886"/>
    <x v="20"/>
    <n v="14"/>
    <s v="Low Risk"/>
    <n v="6"/>
    <x v="0"/>
    <x v="458"/>
    <x v="0"/>
    <s v="Michigan"/>
    <n v="4"/>
    <n v="800"/>
    <x v="6"/>
    <x v="458"/>
    <s v="Fail"/>
    <x v="458"/>
    <x v="1"/>
    <x v="2"/>
    <n v="878.55627700000002"/>
    <x v="458"/>
  </r>
  <r>
    <s v="skincare"/>
    <x v="459"/>
    <n v="25.42"/>
    <n v="25"/>
    <n v="917"/>
    <x v="18"/>
    <n v="75"/>
    <s v="High Risk"/>
    <n v="8"/>
    <x v="0"/>
    <x v="459"/>
    <x v="3"/>
    <s v="Alaska"/>
    <n v="12"/>
    <n v="742"/>
    <x v="19"/>
    <x v="459"/>
    <s v="Pass"/>
    <x v="459"/>
    <x v="0"/>
    <x v="0"/>
    <n v="549.97953849999999"/>
    <x v="459"/>
  </r>
  <r>
    <s v="skincare"/>
    <x v="460"/>
    <n v="7.96"/>
    <n v="21"/>
    <n v="117"/>
    <x v="27"/>
    <n v="32"/>
    <s v="High Risk"/>
    <n v="4"/>
    <x v="1"/>
    <x v="460"/>
    <x v="2"/>
    <s v="Arizona"/>
    <n v="13"/>
    <n v="311"/>
    <x v="12"/>
    <x v="460"/>
    <s v="Pass"/>
    <x v="460"/>
    <x v="2"/>
    <x v="1"/>
    <n v="226.81354930000001"/>
    <x v="460"/>
  </r>
  <r>
    <s v="NaN"/>
    <x v="461"/>
    <n v="29.92"/>
    <n v="65"/>
    <n v="276"/>
    <x v="26"/>
    <n v="11"/>
    <s v="Low Risk"/>
    <n v="7"/>
    <x v="1"/>
    <x v="461"/>
    <x v="4"/>
    <s v="Alaska"/>
    <n v="2"/>
    <n v="517"/>
    <x v="9"/>
    <x v="461"/>
    <s v="Fail"/>
    <x v="461"/>
    <x v="2"/>
    <x v="0"/>
    <n v="296.11402279999999"/>
    <x v="461"/>
  </r>
  <r>
    <s v="haircare"/>
    <x v="462"/>
    <n v="61.53"/>
    <n v="37"/>
    <n v="725"/>
    <x v="2"/>
    <n v="61"/>
    <s v="High Risk"/>
    <n v="6"/>
    <x v="1"/>
    <x v="462"/>
    <x v="4"/>
    <s v="Arizona"/>
    <n v="2"/>
    <n v="212"/>
    <x v="6"/>
    <x v="462"/>
    <s v="Fail"/>
    <x v="462"/>
    <x v="1"/>
    <x v="2"/>
    <n v="682.90300239999999"/>
    <x v="462"/>
  </r>
  <r>
    <s v="skincare"/>
    <x v="463"/>
    <n v="9.89"/>
    <n v="89"/>
    <n v="219"/>
    <x v="8"/>
    <n v="18"/>
    <s v="Low Risk"/>
    <n v="2"/>
    <x v="1"/>
    <x v="463"/>
    <x v="1"/>
    <s v="Michigan"/>
    <n v="15"/>
    <n v="143"/>
    <x v="27"/>
    <x v="463"/>
    <s v="Pass"/>
    <x v="463"/>
    <x v="1"/>
    <x v="1"/>
    <n v="479.5794823"/>
    <x v="463"/>
  </r>
  <r>
    <s v="skincare"/>
    <x v="464"/>
    <n v="52.15"/>
    <n v="45"/>
    <n v="904"/>
    <x v="7"/>
    <n v="27"/>
    <s v="Low Risk"/>
    <n v="8"/>
    <x v="1"/>
    <x v="464"/>
    <x v="3"/>
    <s v="Texas"/>
    <n v="23"/>
    <n v="227"/>
    <x v="7"/>
    <x v="464"/>
    <s v="Fail"/>
    <x v="464"/>
    <x v="1"/>
    <x v="0"/>
    <n v="232.12146859999999"/>
    <x v="464"/>
  </r>
  <r>
    <s v="skincare"/>
    <x v="465"/>
    <n v="61.7"/>
    <n v="14"/>
    <n v="25"/>
    <x v="23"/>
    <n v="55"/>
    <s v="High Risk"/>
    <n v="9"/>
    <x v="3"/>
    <x v="465"/>
    <x v="1"/>
    <s v="Michigan"/>
    <n v="29"/>
    <n v="975"/>
    <x v="28"/>
    <x v="465"/>
    <s v="Pass"/>
    <x v="465"/>
    <x v="1"/>
    <x v="0"/>
    <n v="531.09454029999995"/>
    <x v="465"/>
  </r>
  <r>
    <s v="skincare"/>
    <x v="466"/>
    <n v="36.75"/>
    <n v="97"/>
    <n v="520"/>
    <x v="14"/>
    <n v="54"/>
    <s v="Low Risk"/>
    <n v="5"/>
    <x v="1"/>
    <x v="466"/>
    <x v="1"/>
    <s v="Washington"/>
    <n v="17"/>
    <n v="257"/>
    <x v="9"/>
    <x v="466"/>
    <s v="Pass"/>
    <x v="466"/>
    <x v="0"/>
    <x v="1"/>
    <n v="115.68749099999999"/>
    <x v="466"/>
  </r>
  <r>
    <s v="skincare"/>
    <x v="467"/>
    <n v="78.239999999999995"/>
    <n v="43"/>
    <n v="782"/>
    <x v="4"/>
    <n v="82"/>
    <s v="High Risk"/>
    <n v="4"/>
    <x v="3"/>
    <x v="467"/>
    <x v="3"/>
    <s v="Alaska"/>
    <n v="7"/>
    <n v="884"/>
    <x v="2"/>
    <x v="467"/>
    <s v="Pending"/>
    <x v="467"/>
    <x v="0"/>
    <x v="0"/>
    <n v="760.5058338"/>
    <x v="467"/>
  </r>
  <r>
    <s v="haircare"/>
    <x v="468"/>
    <n v="15.13"/>
    <n v="48"/>
    <n v="9"/>
    <x v="11"/>
    <n v="87"/>
    <s v="High Risk"/>
    <n v="6"/>
    <x v="2"/>
    <x v="468"/>
    <x v="3"/>
    <s v="Washington"/>
    <n v="30"/>
    <n v="926"/>
    <x v="8"/>
    <x v="468"/>
    <s v="Pass"/>
    <x v="468"/>
    <x v="0"/>
    <x v="1"/>
    <n v="166.22316499999999"/>
    <x v="468"/>
  </r>
  <r>
    <s v="skincare"/>
    <x v="469"/>
    <n v="74.180000000000007"/>
    <n v="60"/>
    <n v="377"/>
    <x v="26"/>
    <n v="21"/>
    <s v="Low Risk"/>
    <n v="3"/>
    <x v="0"/>
    <x v="469"/>
    <x v="1"/>
    <s v="Michigan"/>
    <n v="14"/>
    <n v="966"/>
    <x v="27"/>
    <x v="469"/>
    <s v="Pass"/>
    <x v="469"/>
    <x v="1"/>
    <x v="0"/>
    <n v="813.70927689999996"/>
    <x v="469"/>
  </r>
  <r>
    <s v="skincare"/>
    <x v="470"/>
    <n v="52.07"/>
    <n v="66"/>
    <n v="632"/>
    <x v="13"/>
    <n v="44"/>
    <s v="Low Risk"/>
    <n v="1"/>
    <x v="1"/>
    <x v="470"/>
    <x v="4"/>
    <s v="Arizona"/>
    <n v="12"/>
    <n v="951"/>
    <x v="24"/>
    <x v="470"/>
    <s v="Fail"/>
    <x v="470"/>
    <x v="1"/>
    <x v="0"/>
    <n v="219.37948700000001"/>
    <x v="470"/>
  </r>
  <r>
    <s v="haircare"/>
    <x v="471"/>
    <n v="70.400000000000006"/>
    <n v="5"/>
    <n v="636"/>
    <x v="20"/>
    <n v="5"/>
    <s v="Low Risk"/>
    <n v="4"/>
    <x v="3"/>
    <x v="471"/>
    <x v="3"/>
    <s v="Alaska"/>
    <n v="30"/>
    <n v="611"/>
    <x v="4"/>
    <x v="471"/>
    <s v="Pass"/>
    <x v="471"/>
    <x v="1"/>
    <x v="0"/>
    <n v="566.7748216"/>
    <x v="471"/>
  </r>
  <r>
    <s v="haircare"/>
    <x v="472"/>
    <n v="46.31"/>
    <n v="8"/>
    <n v="681"/>
    <x v="14"/>
    <n v="87"/>
    <s v="High Risk"/>
    <n v="4"/>
    <x v="3"/>
    <x v="472"/>
    <x v="4"/>
    <s v="Washington"/>
    <n v="17"/>
    <n v="144"/>
    <x v="2"/>
    <x v="472"/>
    <s v="Pass"/>
    <x v="472"/>
    <x v="1"/>
    <x v="1"/>
    <n v="801.16076290000001"/>
    <x v="472"/>
  </r>
  <r>
    <s v="skincare"/>
    <x v="473"/>
    <n v="28.41"/>
    <n v="5"/>
    <n v="583"/>
    <x v="7"/>
    <n v="41"/>
    <s v="High Risk"/>
    <n v="1"/>
    <x v="1"/>
    <x v="473"/>
    <x v="0"/>
    <s v="Michigan"/>
    <n v="14"/>
    <n v="207"/>
    <x v="3"/>
    <x v="473"/>
    <s v="Fail"/>
    <x v="473"/>
    <x v="1"/>
    <x v="2"/>
    <n v="334.57010930000001"/>
    <x v="473"/>
  </r>
  <r>
    <s v="skincare"/>
    <x v="474"/>
    <n v="82.81"/>
    <n v="72"/>
    <n v="151"/>
    <x v="4"/>
    <n v="59"/>
    <s v="Low Risk"/>
    <n v="9"/>
    <x v="1"/>
    <x v="474"/>
    <x v="3"/>
    <s v="Arizona"/>
    <n v="6"/>
    <n v="318"/>
    <x v="17"/>
    <x v="474"/>
    <s v="Pending"/>
    <x v="474"/>
    <x v="1"/>
    <x v="0"/>
    <n v="246.62493370000001"/>
    <x v="474"/>
  </r>
  <r>
    <s v="haircare"/>
    <x v="475"/>
    <n v="80.94"/>
    <n v="94"/>
    <n v="719"/>
    <x v="15"/>
    <n v="89"/>
    <s v="Low Risk"/>
    <n v="3"/>
    <x v="0"/>
    <x v="475"/>
    <x v="0"/>
    <s v="Texas"/>
    <n v="19"/>
    <n v="542"/>
    <x v="29"/>
    <x v="475"/>
    <s v="Pass"/>
    <x v="475"/>
    <x v="2"/>
    <x v="0"/>
    <n v="403.13719989999998"/>
    <x v="475"/>
  </r>
  <r>
    <s v="skincare"/>
    <x v="476"/>
    <n v="71"/>
    <n v="31"/>
    <n v="48"/>
    <x v="2"/>
    <n v="54"/>
    <s v="High Risk"/>
    <n v="5"/>
    <x v="3"/>
    <x v="476"/>
    <x v="2"/>
    <s v="Michigan"/>
    <n v="24"/>
    <n v="929"/>
    <x v="14"/>
    <x v="476"/>
    <s v="Fail"/>
    <x v="476"/>
    <x v="1"/>
    <x v="0"/>
    <n v="599.22925889999999"/>
    <x v="476"/>
  </r>
  <r>
    <s v="haircare"/>
    <x v="477"/>
    <n v="30.85"/>
    <n v="40"/>
    <n v="153"/>
    <x v="4"/>
    <n v="74"/>
    <s v="High Risk"/>
    <n v="6"/>
    <x v="3"/>
    <x v="477"/>
    <x v="2"/>
    <s v="Michigan"/>
    <n v="6"/>
    <n v="414"/>
    <x v="18"/>
    <x v="477"/>
    <s v="Pending"/>
    <x v="477"/>
    <x v="0"/>
    <x v="0"/>
    <n v="617.75163540000005"/>
    <x v="477"/>
  </r>
  <r>
    <s v="haircare"/>
    <x v="478"/>
    <n v="61.07"/>
    <n v="75"/>
    <n v="858"/>
    <x v="18"/>
    <n v="22"/>
    <s v="Low Risk"/>
    <n v="8"/>
    <x v="3"/>
    <x v="478"/>
    <x v="3"/>
    <s v="Washington"/>
    <n v="27"/>
    <n v="276"/>
    <x v="26"/>
    <x v="478"/>
    <s v="Fail"/>
    <x v="478"/>
    <x v="1"/>
    <x v="1"/>
    <n v="217.7887001"/>
    <x v="478"/>
  </r>
  <r>
    <s v="haircare"/>
    <x v="479"/>
    <n v="39.29"/>
    <n v="7"/>
    <n v="292"/>
    <x v="19"/>
    <n v="83"/>
    <s v="High Risk"/>
    <n v="6"/>
    <x v="3"/>
    <x v="479"/>
    <x v="3"/>
    <s v="New York"/>
    <n v="18"/>
    <n v="327"/>
    <x v="21"/>
    <x v="479"/>
    <s v="Pending"/>
    <x v="479"/>
    <x v="2"/>
    <x v="1"/>
    <n v="511.81196290000003"/>
    <x v="479"/>
  </r>
  <r>
    <s v="haircare"/>
    <x v="480"/>
    <n v="13.7"/>
    <n v="71"/>
    <n v="579"/>
    <x v="0"/>
    <n v="65"/>
    <s v="Low Risk"/>
    <n v="3"/>
    <x v="1"/>
    <x v="480"/>
    <x v="3"/>
    <s v="Texas"/>
    <n v="24"/>
    <n v="802"/>
    <x v="25"/>
    <x v="480"/>
    <s v="Pass"/>
    <x v="480"/>
    <x v="0"/>
    <x v="1"/>
    <n v="341.45397600000001"/>
    <x v="480"/>
  </r>
  <r>
    <s v="skincare"/>
    <x v="481"/>
    <n v="92.14"/>
    <n v="49"/>
    <n v="49"/>
    <x v="16"/>
    <n v="64"/>
    <s v="High Risk"/>
    <n v="6"/>
    <x v="3"/>
    <x v="481"/>
    <x v="4"/>
    <s v="Alaska"/>
    <n v="5"/>
    <n v="771"/>
    <x v="25"/>
    <x v="481"/>
    <s v="Pending"/>
    <x v="481"/>
    <x v="1"/>
    <x v="2"/>
    <n v="857.82179629999996"/>
    <x v="481"/>
  </r>
  <r>
    <s v="haircare"/>
    <x v="482"/>
    <n v="18"/>
    <n v="91"/>
    <n v="663"/>
    <x v="26"/>
    <n v="71"/>
    <s v="Low Risk"/>
    <n v="1"/>
    <x v="1"/>
    <x v="482"/>
    <x v="3"/>
    <s v="Texas"/>
    <n v="24"/>
    <n v="366"/>
    <x v="5"/>
    <x v="482"/>
    <s v="Fail"/>
    <x v="482"/>
    <x v="2"/>
    <x v="1"/>
    <n v="382.21761889999999"/>
    <x v="482"/>
  </r>
  <r>
    <s v="NaN"/>
    <x v="483"/>
    <n v="95.27"/>
    <n v="61"/>
    <n v="530"/>
    <x v="28"/>
    <n v="4"/>
    <s v="Low Risk"/>
    <n v="4"/>
    <x v="1"/>
    <x v="483"/>
    <x v="2"/>
    <s v="Washington"/>
    <n v="24"/>
    <n v="969"/>
    <x v="6"/>
    <x v="483"/>
    <s v="Fail"/>
    <x v="483"/>
    <x v="1"/>
    <x v="1"/>
    <n v="854.83407209999996"/>
    <x v="483"/>
  </r>
  <r>
    <s v="NaN"/>
    <x v="484"/>
    <n v="47.37"/>
    <n v="83"/>
    <n v="611"/>
    <x v="6"/>
    <n v="65"/>
    <s v="Low Risk"/>
    <n v="6"/>
    <x v="0"/>
    <x v="484"/>
    <x v="3"/>
    <s v="Arizona"/>
    <n v="6"/>
    <n v="937"/>
    <x v="5"/>
    <x v="484"/>
    <s v="Pending"/>
    <x v="484"/>
    <x v="0"/>
    <x v="2"/>
    <n v="485.7081513"/>
    <x v="484"/>
  </r>
  <r>
    <s v="skincare"/>
    <x v="485"/>
    <n v="68.8"/>
    <n v="17"/>
    <n v="661"/>
    <x v="5"/>
    <n v="74"/>
    <s v="High Risk"/>
    <n v="5"/>
    <x v="3"/>
    <x v="485"/>
    <x v="4"/>
    <s v="Alaska"/>
    <n v="6"/>
    <n v="381"/>
    <x v="19"/>
    <x v="485"/>
    <s v="Pending"/>
    <x v="485"/>
    <x v="1"/>
    <x v="1"/>
    <n v="834.23847090000004"/>
    <x v="485"/>
  </r>
  <r>
    <s v="skincare"/>
    <x v="486"/>
    <n v="46.56"/>
    <n v="92"/>
    <n v="861"/>
    <x v="26"/>
    <n v="61"/>
    <s v="Low Risk"/>
    <n v="5"/>
    <x v="0"/>
    <x v="486"/>
    <x v="0"/>
    <s v="Arizona"/>
    <n v="25"/>
    <n v="106"/>
    <x v="12"/>
    <x v="486"/>
    <s v="Fail"/>
    <x v="486"/>
    <x v="0"/>
    <x v="1"/>
    <n v="406.5895696"/>
    <x v="486"/>
  </r>
  <r>
    <s v="haircare"/>
    <x v="487"/>
    <n v="99.97"/>
    <n v="85"/>
    <n v="566"/>
    <x v="6"/>
    <n v="61"/>
    <s v="Low Risk"/>
    <n v="4"/>
    <x v="1"/>
    <x v="487"/>
    <x v="0"/>
    <s v="Michigan"/>
    <n v="3"/>
    <n v="717"/>
    <x v="7"/>
    <x v="487"/>
    <s v="Pass"/>
    <x v="487"/>
    <x v="2"/>
    <x v="1"/>
    <n v="609.90760290000003"/>
    <x v="4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B293A-0141-422C-9783-54789BCB8D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0:E11" firstHeaderRow="0" firstDataRow="1" firstDataCol="0"/>
  <pivotFields count="23">
    <pivotField showAll="0"/>
    <pivotField showAll="0"/>
    <pivotField numFmtId="2" showAll="0"/>
    <pivotField showAll="0"/>
    <pivotField showAll="0"/>
    <pivotField dataField="1" showAll="0"/>
    <pivotField showAll="0"/>
    <pivotField showAll="0"/>
    <pivotField showAll="0"/>
    <pivotField showAll="0"/>
    <pivotField dataField="1" numFmtId="165" showAll="0"/>
    <pivotField showAll="0"/>
    <pivotField showAll="0"/>
    <pivotField showAll="0"/>
    <pivotField showAll="0"/>
    <pivotField showAll="0"/>
    <pivotField numFmtId="165" showAll="0"/>
    <pivotField showAll="0"/>
    <pivotField numFmtId="164" showAll="0"/>
    <pivotField showAll="0"/>
    <pivotField showAll="0"/>
    <pivotField numFmtId="165" showAll="0"/>
    <pivotField numFmtId="165" showAll="0"/>
  </pivotFields>
  <rowItems count="1">
    <i/>
  </rowItems>
  <colFields count="1">
    <field x="-2"/>
  </colFields>
  <colItems count="2">
    <i>
      <x/>
    </i>
    <i i="1">
      <x v="1"/>
    </i>
  </colItems>
  <dataFields count="2">
    <dataField name="Sum of Shipping costs" fld="10" baseField="0" baseItem="0" numFmtId="165"/>
    <dataField name="Average of Lead times" fld="5" subtotal="average" baseField="11" baseItem="1" numFmtId="165"/>
  </dataFields>
  <formats count="1">
    <format dxfId="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4" series="1">
      <pivotArea type="data" outline="0" fieldPosition="0">
        <references count="1">
          <reference field="4294967294" count="1" selected="0">
            <x v="0"/>
          </reference>
        </references>
      </pivotArea>
    </chartFormat>
    <chartFormat chart="7" format="3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FE0DD1-E1AB-4381-B923-00FB5137B7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74:D75" firstHeaderRow="1" firstDataRow="1" firstDataCol="0"/>
  <pivotFields count="23">
    <pivotField showAll="0"/>
    <pivotField showAll="0"/>
    <pivotField numFmtId="2" showAll="0"/>
    <pivotField showAll="0"/>
    <pivotField showAll="0"/>
    <pivotField showAll="0"/>
    <pivotField showAll="0"/>
    <pivotField showAll="0"/>
    <pivotField showAll="0"/>
    <pivotField showAll="0"/>
    <pivotField dataField="1" numFmtId="165" showAll="0"/>
    <pivotField showAll="0"/>
    <pivotField showAll="0"/>
    <pivotField showAll="0"/>
    <pivotField showAll="0"/>
    <pivotField showAll="0"/>
    <pivotField numFmtId="165" showAll="0"/>
    <pivotField showAll="0"/>
    <pivotField numFmtId="164" showAll="0"/>
    <pivotField showAll="0">
      <items count="4">
        <item x="1"/>
        <item x="2"/>
        <item x="0"/>
        <item t="default"/>
      </items>
    </pivotField>
    <pivotField showAll="0"/>
    <pivotField numFmtId="165" showAll="0"/>
    <pivotField numFmtId="165" showAll="0"/>
  </pivotFields>
  <rowItems count="1">
    <i/>
  </rowItems>
  <colItems count="1">
    <i/>
  </colItems>
  <dataFields count="1">
    <dataField name="Sum of Shipping costs" fld="10" baseField="19" baseItem="0" numFmtId="165"/>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F82B4-D31B-4475-BBE4-F8B8F66CF0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2:C38" firstHeaderRow="0" firstDataRow="1" firstDataCol="1"/>
  <pivotFields count="23">
    <pivotField showAll="0"/>
    <pivotField showAll="0"/>
    <pivotField numFmtId="2" showAll="0"/>
    <pivotField showAll="0"/>
    <pivotField showAll="0"/>
    <pivotField showAll="0"/>
    <pivotField showAll="0"/>
    <pivotField showAll="0"/>
    <pivotField showAll="0"/>
    <pivotField showAll="0"/>
    <pivotField numFmtId="165" showAll="0"/>
    <pivotField axis="axisRow" showAll="0">
      <items count="7">
        <item h="1" x="5"/>
        <item x="2"/>
        <item x="3"/>
        <item x="4"/>
        <item x="0"/>
        <item x="1"/>
        <item t="default"/>
      </items>
    </pivotField>
    <pivotField showAll="0"/>
    <pivotField showAll="0"/>
    <pivotField showAll="0"/>
    <pivotField dataField="1" showAll="0">
      <items count="31">
        <item x="24"/>
        <item x="4"/>
        <item x="13"/>
        <item x="5"/>
        <item x="6"/>
        <item x="15"/>
        <item x="19"/>
        <item x="8"/>
        <item x="1"/>
        <item x="21"/>
        <item x="18"/>
        <item x="10"/>
        <item x="20"/>
        <item x="22"/>
        <item x="3"/>
        <item x="16"/>
        <item x="7"/>
        <item x="14"/>
        <item x="12"/>
        <item x="17"/>
        <item x="11"/>
        <item x="9"/>
        <item x="23"/>
        <item x="25"/>
        <item x="26"/>
        <item x="28"/>
        <item x="0"/>
        <item x="29"/>
        <item x="27"/>
        <item x="2"/>
        <item t="default"/>
      </items>
    </pivotField>
    <pivotField numFmtId="165" showAll="0"/>
    <pivotField showAll="0"/>
    <pivotField dataField="1" numFmtId="164" showAll="0"/>
    <pivotField showAll="0"/>
    <pivotField showAll="0"/>
    <pivotField numFmtId="165" showAll="0"/>
    <pivotField numFmtId="165" showAll="0"/>
  </pivotFields>
  <rowFields count="1">
    <field x="11"/>
  </rowFields>
  <rowItems count="6">
    <i>
      <x v="1"/>
    </i>
    <i>
      <x v="2"/>
    </i>
    <i>
      <x v="3"/>
    </i>
    <i>
      <x v="4"/>
    </i>
    <i>
      <x v="5"/>
    </i>
    <i t="grand">
      <x/>
    </i>
  </rowItems>
  <colFields count="1">
    <field x="-2"/>
  </colFields>
  <colItems count="2">
    <i>
      <x/>
    </i>
    <i i="1">
      <x v="1"/>
    </i>
  </colItems>
  <dataFields count="2">
    <dataField name="Average of Defect rates" fld="18" subtotal="average" baseField="11" baseItem="1" numFmtId="164"/>
    <dataField name="Average of Manufacturing lead time" fld="15" subtotal="average" baseField="11" baseItem="1"/>
  </dataFields>
  <chartFormats count="4">
    <chartFormat chart="32" format="5"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1"/>
          </reference>
        </references>
      </pivotArea>
    </chartFormat>
    <chartFormat chart="36" format="9"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0C709-B7BE-4D45-A9DA-4AEC851CF64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45:D46" firstHeaderRow="1" firstDataRow="1" firstDataCol="0"/>
  <pivotFields count="23">
    <pivotField showAll="0"/>
    <pivotField showAll="0" measureFilter="1" sortType="descending">
      <items count="489">
        <item x="0"/>
        <item x="1"/>
        <item x="10"/>
        <item x="96"/>
        <item x="97"/>
        <item x="98"/>
        <item x="99"/>
        <item x="100"/>
        <item x="101"/>
        <item x="102"/>
        <item x="103"/>
        <item x="104"/>
        <item x="105"/>
        <item x="11"/>
        <item x="106"/>
        <item x="107"/>
        <item x="108"/>
        <item x="109"/>
        <item x="110"/>
        <item x="111"/>
        <item x="112"/>
        <item x="113"/>
        <item x="114"/>
        <item x="12"/>
        <item x="115"/>
        <item x="116"/>
        <item x="117"/>
        <item x="118"/>
        <item x="119"/>
        <item x="120"/>
        <item x="121"/>
        <item x="122"/>
        <item x="123"/>
        <item x="124"/>
        <item x="13"/>
        <item x="125"/>
        <item x="126"/>
        <item x="127"/>
        <item x="128"/>
        <item x="129"/>
        <item x="130"/>
        <item x="131"/>
        <item x="132"/>
        <item x="133"/>
        <item x="14"/>
        <item x="134"/>
        <item x="135"/>
        <item x="136"/>
        <item x="137"/>
        <item x="138"/>
        <item x="139"/>
        <item x="140"/>
        <item x="141"/>
        <item x="142"/>
        <item x="43"/>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4"/>
        <item x="417"/>
        <item x="418"/>
        <item x="419"/>
        <item x="420"/>
        <item x="421"/>
        <item x="422"/>
        <item x="423"/>
        <item x="424"/>
        <item x="425"/>
        <item x="426"/>
        <item x="45"/>
        <item x="427"/>
        <item x="428"/>
        <item x="429"/>
        <item x="430"/>
        <item x="431"/>
        <item x="432"/>
        <item x="433"/>
        <item x="434"/>
        <item x="435"/>
        <item x="46"/>
        <item x="436"/>
        <item x="437"/>
        <item x="438"/>
        <item x="439"/>
        <item x="440"/>
        <item x="441"/>
        <item x="442"/>
        <item x="443"/>
        <item x="444"/>
        <item x="445"/>
        <item x="47"/>
        <item x="446"/>
        <item x="447"/>
        <item x="448"/>
        <item x="449"/>
        <item x="450"/>
        <item x="451"/>
        <item x="452"/>
        <item x="453"/>
        <item x="454"/>
        <item x="455"/>
        <item x="485"/>
        <item x="456"/>
        <item x="457"/>
        <item x="458"/>
        <item x="459"/>
        <item x="460"/>
        <item x="461"/>
        <item x="462"/>
        <item x="463"/>
        <item x="464"/>
        <item x="465"/>
        <item x="48"/>
        <item x="466"/>
        <item x="467"/>
        <item x="468"/>
        <item x="469"/>
        <item x="470"/>
        <item x="471"/>
        <item x="472"/>
        <item x="473"/>
        <item x="474"/>
        <item x="49"/>
        <item x="475"/>
        <item x="476"/>
        <item x="477"/>
        <item x="478"/>
        <item x="479"/>
        <item x="480"/>
        <item x="481"/>
        <item x="482"/>
        <item x="483"/>
        <item x="484"/>
        <item x="5"/>
        <item x="50"/>
        <item x="51"/>
        <item x="52"/>
        <item x="53"/>
        <item x="54"/>
        <item x="55"/>
        <item x="56"/>
        <item x="57"/>
        <item x="58"/>
        <item x="59"/>
        <item x="6"/>
        <item x="60"/>
        <item x="61"/>
        <item x="62"/>
        <item x="63"/>
        <item x="64"/>
        <item x="65"/>
        <item x="486"/>
        <item x="66"/>
        <item x="67"/>
        <item x="7"/>
        <item x="42"/>
        <item x="68"/>
        <item x="69"/>
        <item x="70"/>
        <item x="71"/>
        <item x="72"/>
        <item x="73"/>
        <item x="74"/>
        <item x="75"/>
        <item x="76"/>
        <item x="8"/>
        <item x="77"/>
        <item x="78"/>
        <item x="79"/>
        <item x="80"/>
        <item x="81"/>
        <item x="82"/>
        <item x="83"/>
        <item x="84"/>
        <item x="85"/>
        <item x="86"/>
        <item x="9"/>
        <item x="87"/>
        <item x="88"/>
        <item x="89"/>
        <item x="90"/>
        <item x="91"/>
        <item x="92"/>
        <item x="93"/>
        <item x="94"/>
        <item x="95"/>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numFmtId="165" showAll="0"/>
    <pivotField showAll="0"/>
    <pivotField numFmtId="164" showAll="0"/>
    <pivotField showAll="0"/>
    <pivotField showAll="0"/>
    <pivotField numFmtId="165" showAll="0"/>
    <pivotField dataField="1" numFmtId="165" showAll="0"/>
  </pivotFields>
  <rowItems count="1">
    <i/>
  </rowItems>
  <colItems count="1">
    <i/>
  </colItems>
  <dataFields count="1">
    <dataField name="Sum of Profitability" fld="22" baseField="0" baseItem="0" numFmtId="165"/>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46312-F7FA-4586-93F5-9D54CEB72D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5:E36" firstHeaderRow="1" firstDataRow="1" firstDataCol="0"/>
  <pivotFields count="23">
    <pivotField showAll="0"/>
    <pivotField showAll="0"/>
    <pivotField numFmtId="2" showAll="0"/>
    <pivotField showAll="0"/>
    <pivotField showAll="0"/>
    <pivotField showAll="0"/>
    <pivotField showAll="0"/>
    <pivotField showAll="0"/>
    <pivotField showAll="0"/>
    <pivotField showAll="0"/>
    <pivotField numFmtId="165" showAll="0"/>
    <pivotField showAll="0">
      <items count="7">
        <item h="1" x="5"/>
        <item x="2"/>
        <item x="3"/>
        <item x="4"/>
        <item x="0"/>
        <item x="1"/>
        <item t="default"/>
      </items>
    </pivotField>
    <pivotField showAll="0"/>
    <pivotField showAll="0"/>
    <pivotField showAll="0"/>
    <pivotField dataField="1" showAll="0"/>
    <pivotField numFmtId="165" showAll="0"/>
    <pivotField showAll="0"/>
    <pivotField numFmtId="164" showAll="0"/>
    <pivotField showAll="0"/>
    <pivotField showAll="0"/>
    <pivotField numFmtId="165" showAll="0"/>
    <pivotField numFmtId="165" showAll="0"/>
  </pivotFields>
  <rowItems count="1">
    <i/>
  </rowItems>
  <colItems count="1">
    <i/>
  </colItems>
  <dataFields count="1">
    <dataField name="Average of Manufacturing lead time" fld="15" subtotal="average" baseField="11" baseItem="1"/>
  </dataFields>
  <chartFormats count="2">
    <chartFormat chart="5" format="5"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6FA3D5-22E2-490E-86D0-EC3EC931F0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2:B53" firstHeaderRow="1" firstDataRow="1" firstDataCol="1"/>
  <pivotFields count="23">
    <pivotField showAll="0"/>
    <pivotField axis="axisRow" showAll="0" measureFilter="1" sortType="descending">
      <items count="489">
        <item x="0"/>
        <item x="1"/>
        <item x="10"/>
        <item x="96"/>
        <item x="97"/>
        <item x="98"/>
        <item x="99"/>
        <item x="100"/>
        <item x="101"/>
        <item x="102"/>
        <item x="103"/>
        <item x="104"/>
        <item x="105"/>
        <item x="11"/>
        <item x="106"/>
        <item x="107"/>
        <item x="108"/>
        <item x="109"/>
        <item x="110"/>
        <item x="111"/>
        <item x="112"/>
        <item x="113"/>
        <item x="114"/>
        <item x="12"/>
        <item x="115"/>
        <item x="116"/>
        <item x="117"/>
        <item x="118"/>
        <item x="119"/>
        <item x="120"/>
        <item x="121"/>
        <item x="122"/>
        <item x="123"/>
        <item x="124"/>
        <item x="13"/>
        <item x="125"/>
        <item x="126"/>
        <item x="127"/>
        <item x="128"/>
        <item x="129"/>
        <item x="130"/>
        <item x="131"/>
        <item x="132"/>
        <item x="133"/>
        <item x="14"/>
        <item x="134"/>
        <item x="135"/>
        <item x="136"/>
        <item x="137"/>
        <item x="138"/>
        <item x="139"/>
        <item x="140"/>
        <item x="141"/>
        <item x="142"/>
        <item x="43"/>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4"/>
        <item x="417"/>
        <item x="418"/>
        <item x="419"/>
        <item x="420"/>
        <item x="421"/>
        <item x="422"/>
        <item x="423"/>
        <item x="424"/>
        <item x="425"/>
        <item x="426"/>
        <item x="45"/>
        <item x="427"/>
        <item x="428"/>
        <item x="429"/>
        <item x="430"/>
        <item x="431"/>
        <item x="432"/>
        <item x="433"/>
        <item x="434"/>
        <item x="435"/>
        <item x="46"/>
        <item x="436"/>
        <item x="437"/>
        <item x="438"/>
        <item x="439"/>
        <item x="440"/>
        <item x="441"/>
        <item x="442"/>
        <item x="443"/>
        <item x="444"/>
        <item x="445"/>
        <item x="47"/>
        <item x="446"/>
        <item x="447"/>
        <item x="448"/>
        <item x="449"/>
        <item x="450"/>
        <item x="451"/>
        <item x="452"/>
        <item x="453"/>
        <item x="454"/>
        <item x="455"/>
        <item x="485"/>
        <item x="456"/>
        <item x="457"/>
        <item x="458"/>
        <item x="459"/>
        <item x="460"/>
        <item x="461"/>
        <item x="462"/>
        <item x="463"/>
        <item x="464"/>
        <item x="465"/>
        <item x="48"/>
        <item x="466"/>
        <item x="467"/>
        <item x="468"/>
        <item x="469"/>
        <item x="470"/>
        <item x="471"/>
        <item x="472"/>
        <item x="473"/>
        <item x="474"/>
        <item x="49"/>
        <item x="475"/>
        <item x="476"/>
        <item x="477"/>
        <item x="478"/>
        <item x="479"/>
        <item x="480"/>
        <item x="481"/>
        <item x="482"/>
        <item x="483"/>
        <item x="484"/>
        <item x="5"/>
        <item x="50"/>
        <item x="51"/>
        <item x="52"/>
        <item x="53"/>
        <item x="54"/>
        <item x="55"/>
        <item x="56"/>
        <item x="57"/>
        <item x="58"/>
        <item x="59"/>
        <item x="6"/>
        <item x="60"/>
        <item x="61"/>
        <item x="62"/>
        <item x="63"/>
        <item x="64"/>
        <item x="65"/>
        <item x="486"/>
        <item x="66"/>
        <item x="67"/>
        <item x="7"/>
        <item x="42"/>
        <item x="68"/>
        <item x="69"/>
        <item x="70"/>
        <item x="71"/>
        <item x="72"/>
        <item x="73"/>
        <item x="74"/>
        <item x="75"/>
        <item x="76"/>
        <item x="8"/>
        <item x="77"/>
        <item x="78"/>
        <item x="79"/>
        <item x="80"/>
        <item x="81"/>
        <item x="82"/>
        <item x="83"/>
        <item x="84"/>
        <item x="85"/>
        <item x="86"/>
        <item x="9"/>
        <item x="87"/>
        <item x="88"/>
        <item x="89"/>
        <item x="90"/>
        <item x="91"/>
        <item x="92"/>
        <item x="93"/>
        <item x="94"/>
        <item x="95"/>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numFmtId="165" showAll="0"/>
    <pivotField showAll="0"/>
    <pivotField numFmtId="164" showAll="0"/>
    <pivotField showAll="0"/>
    <pivotField showAll="0"/>
    <pivotField numFmtId="165" showAll="0"/>
    <pivotField dataField="1" numFmtId="165" showAll="0">
      <items count="489">
        <item x="61"/>
        <item x="177"/>
        <item x="162"/>
        <item x="290"/>
        <item x="263"/>
        <item x="5"/>
        <item x="160"/>
        <item x="359"/>
        <item x="170"/>
        <item x="336"/>
        <item x="239"/>
        <item x="434"/>
        <item x="165"/>
        <item x="321"/>
        <item x="182"/>
        <item x="137"/>
        <item x="350"/>
        <item x="439"/>
        <item x="211"/>
        <item x="202"/>
        <item x="186"/>
        <item x="294"/>
        <item x="351"/>
        <item x="417"/>
        <item x="242"/>
        <item x="167"/>
        <item x="254"/>
        <item x="243"/>
        <item x="147"/>
        <item x="150"/>
        <item x="466"/>
        <item x="339"/>
        <item x="66"/>
        <item x="37"/>
        <item x="64"/>
        <item x="123"/>
        <item x="216"/>
        <item x="138"/>
        <item x="264"/>
        <item x="257"/>
        <item x="395"/>
        <item x="266"/>
        <item x="470"/>
        <item x="295"/>
        <item x="234"/>
        <item x="300"/>
        <item x="94"/>
        <item x="131"/>
        <item x="43"/>
        <item x="155"/>
        <item x="169"/>
        <item x="427"/>
        <item x="206"/>
        <item x="460"/>
        <item x="86"/>
        <item x="8"/>
        <item x="305"/>
        <item x="124"/>
        <item x="241"/>
        <item x="361"/>
        <item x="416"/>
        <item x="468"/>
        <item x="432"/>
        <item x="163"/>
        <item x="464"/>
        <item x="228"/>
        <item x="205"/>
        <item x="332"/>
        <item x="200"/>
        <item x="299"/>
        <item x="196"/>
        <item x="63"/>
        <item x="448"/>
        <item x="117"/>
        <item x="0"/>
        <item x="28"/>
        <item x="3"/>
        <item x="175"/>
        <item x="238"/>
        <item x="120"/>
        <item x="478"/>
        <item x="334"/>
        <item x="441"/>
        <item x="397"/>
        <item x="249"/>
        <item x="67"/>
        <item x="229"/>
        <item x="328"/>
        <item x="284"/>
        <item x="158"/>
        <item x="445"/>
        <item x="195"/>
        <item x="348"/>
        <item x="337"/>
        <item x="275"/>
        <item x="268"/>
        <item x="178"/>
        <item x="461"/>
        <item x="355"/>
        <item x="287"/>
        <item x="393"/>
        <item x="451"/>
        <item x="450"/>
        <item x="474"/>
        <item x="11"/>
        <item x="262"/>
        <item x="296"/>
        <item x="345"/>
        <item x="327"/>
        <item x="119"/>
        <item x="288"/>
        <item x="473"/>
        <item x="370"/>
        <item x="97"/>
        <item x="9"/>
        <item x="333"/>
        <item x="88"/>
        <item x="253"/>
        <item x="81"/>
        <item x="139"/>
        <item x="289"/>
        <item x="440"/>
        <item x="380"/>
        <item x="187"/>
        <item x="33"/>
        <item x="209"/>
        <item x="411"/>
        <item x="360"/>
        <item x="112"/>
        <item x="18"/>
        <item x="373"/>
        <item x="12"/>
        <item x="224"/>
        <item x="318"/>
        <item x="310"/>
        <item x="247"/>
        <item x="23"/>
        <item x="221"/>
        <item x="280"/>
        <item x="192"/>
        <item x="36"/>
        <item x="271"/>
        <item x="105"/>
        <item x="312"/>
        <item x="276"/>
        <item x="230"/>
        <item x="161"/>
        <item x="297"/>
        <item x="272"/>
        <item x="114"/>
        <item x="269"/>
        <item x="152"/>
        <item x="443"/>
        <item x="171"/>
        <item x="438"/>
        <item x="41"/>
        <item x="385"/>
        <item x="475"/>
        <item x="71"/>
        <item x="2"/>
        <item x="24"/>
        <item x="369"/>
        <item x="308"/>
        <item x="480"/>
        <item x="325"/>
        <item x="330"/>
        <item x="274"/>
        <item x="164"/>
        <item x="108"/>
        <item x="214"/>
        <item x="387"/>
        <item x="100"/>
        <item x="482"/>
        <item x="91"/>
        <item x="180"/>
        <item x="146"/>
        <item x="335"/>
        <item x="32"/>
        <item x="80"/>
        <item x="226"/>
        <item x="486"/>
        <item x="189"/>
        <item x="307"/>
        <item x="90"/>
        <item x="414"/>
        <item x="401"/>
        <item x="110"/>
        <item x="27"/>
        <item x="357"/>
        <item x="301"/>
        <item x="281"/>
        <item x="198"/>
        <item x="95"/>
        <item x="376"/>
        <item x="302"/>
        <item x="104"/>
        <item x="70"/>
        <item x="21"/>
        <item x="72"/>
        <item x="218"/>
        <item x="157"/>
        <item x="398"/>
        <item x="244"/>
        <item x="233"/>
        <item x="109"/>
        <item x="219"/>
        <item x="235"/>
        <item x="10"/>
        <item x="420"/>
        <item x="449"/>
        <item x="303"/>
        <item x="220"/>
        <item x="26"/>
        <item x="365"/>
        <item x="58"/>
        <item x="52"/>
        <item x="255"/>
        <item x="425"/>
        <item x="15"/>
        <item x="484"/>
        <item x="85"/>
        <item x="324"/>
        <item x="68"/>
        <item x="412"/>
        <item x="364"/>
        <item x="437"/>
        <item x="344"/>
        <item x="322"/>
        <item x="418"/>
        <item x="103"/>
        <item x="465"/>
        <item x="4"/>
        <item x="479"/>
        <item x="83"/>
        <item x="463"/>
        <item x="426"/>
        <item x="128"/>
        <item x="372"/>
        <item x="436"/>
        <item x="338"/>
        <item x="277"/>
        <item x="379"/>
        <item x="452"/>
        <item x="374"/>
        <item x="210"/>
        <item x="197"/>
        <item x="341"/>
        <item x="422"/>
        <item x="430"/>
        <item x="13"/>
        <item x="363"/>
        <item x="7"/>
        <item x="403"/>
        <item x="428"/>
        <item x="405"/>
        <item x="56"/>
        <item x="313"/>
        <item x="340"/>
        <item x="121"/>
        <item x="282"/>
        <item x="459"/>
        <item x="245"/>
        <item x="115"/>
        <item x="133"/>
        <item x="156"/>
        <item x="471"/>
        <item x="46"/>
        <item x="356"/>
        <item x="455"/>
        <item x="260"/>
        <item x="353"/>
        <item x="251"/>
        <item x="74"/>
        <item x="77"/>
        <item x="421"/>
        <item x="396"/>
        <item x="419"/>
        <item x="402"/>
        <item x="93"/>
        <item x="476"/>
        <item x="447"/>
        <item x="390"/>
        <item x="203"/>
        <item x="487"/>
        <item x="134"/>
        <item x="116"/>
        <item x="291"/>
        <item x="265"/>
        <item x="111"/>
        <item x="51"/>
        <item x="98"/>
        <item x="477"/>
        <item x="106"/>
        <item x="62"/>
        <item x="154"/>
        <item x="142"/>
        <item x="148"/>
        <item x="185"/>
        <item x="252"/>
        <item x="82"/>
        <item x="429"/>
        <item x="204"/>
        <item x="377"/>
        <item x="273"/>
        <item x="76"/>
        <item x="415"/>
        <item x="151"/>
        <item x="317"/>
        <item x="246"/>
        <item x="166"/>
        <item x="311"/>
        <item x="173"/>
        <item x="57"/>
        <item x="231"/>
        <item x="462"/>
        <item x="424"/>
        <item x="343"/>
        <item x="50"/>
        <item x="53"/>
        <item x="292"/>
        <item x="193"/>
        <item x="145"/>
        <item x="442"/>
        <item x="129"/>
        <item x="184"/>
        <item x="293"/>
        <item x="179"/>
        <item x="256"/>
        <item x="127"/>
        <item x="319"/>
        <item x="60"/>
        <item x="1"/>
        <item x="212"/>
        <item x="406"/>
        <item x="237"/>
        <item x="306"/>
        <item x="394"/>
        <item x="122"/>
        <item x="236"/>
        <item x="431"/>
        <item x="223"/>
        <item x="384"/>
        <item x="232"/>
        <item x="34"/>
        <item x="101"/>
        <item x="217"/>
        <item x="194"/>
        <item x="135"/>
        <item x="190"/>
        <item x="59"/>
        <item x="222"/>
        <item x="40"/>
        <item x="423"/>
        <item x="141"/>
        <item x="199"/>
        <item x="16"/>
        <item x="453"/>
        <item x="329"/>
        <item x="320"/>
        <item x="99"/>
        <item x="149"/>
        <item x="118"/>
        <item x="368"/>
        <item x="248"/>
        <item x="35"/>
        <item x="96"/>
        <item x="42"/>
        <item x="346"/>
        <item x="354"/>
        <item x="444"/>
        <item x="168"/>
        <item x="174"/>
        <item x="331"/>
        <item x="19"/>
        <item x="347"/>
        <item x="25"/>
        <item x="73"/>
        <item x="29"/>
        <item x="388"/>
        <item x="392"/>
        <item x="207"/>
        <item x="227"/>
        <item x="240"/>
        <item x="472"/>
        <item x="467"/>
        <item x="30"/>
        <item x="285"/>
        <item x="38"/>
        <item x="378"/>
        <item x="391"/>
        <item x="469"/>
        <item x="125"/>
        <item x="65"/>
        <item x="78"/>
        <item x="20"/>
        <item x="132"/>
        <item x="279"/>
        <item x="483"/>
        <item x="399"/>
        <item x="383"/>
        <item x="153"/>
        <item x="314"/>
        <item x="485"/>
        <item x="159"/>
        <item x="270"/>
        <item x="54"/>
        <item x="113"/>
        <item x="342"/>
        <item x="14"/>
        <item x="481"/>
        <item x="6"/>
        <item x="47"/>
        <item x="126"/>
        <item x="367"/>
        <item x="413"/>
        <item x="358"/>
        <item x="130"/>
        <item x="213"/>
        <item x="143"/>
        <item x="298"/>
        <item x="362"/>
        <item x="458"/>
        <item x="87"/>
        <item x="69"/>
        <item x="49"/>
        <item x="225"/>
        <item x="144"/>
        <item x="352"/>
        <item x="89"/>
        <item x="102"/>
        <item x="323"/>
        <item x="304"/>
        <item x="250"/>
        <item x="176"/>
        <item x="17"/>
        <item x="454"/>
        <item x="75"/>
        <item x="375"/>
        <item x="315"/>
        <item x="386"/>
        <item x="316"/>
        <item x="409"/>
        <item x="107"/>
        <item x="371"/>
        <item x="79"/>
        <item x="188"/>
        <item x="172"/>
        <item x="407"/>
        <item x="208"/>
        <item x="326"/>
        <item x="92"/>
        <item x="446"/>
        <item x="408"/>
        <item x="136"/>
        <item x="382"/>
        <item x="286"/>
        <item x="433"/>
        <item x="349"/>
        <item x="45"/>
        <item x="31"/>
        <item x="181"/>
        <item x="22"/>
        <item x="389"/>
        <item x="457"/>
        <item x="410"/>
        <item x="309"/>
        <item x="283"/>
        <item x="48"/>
        <item x="84"/>
        <item x="258"/>
        <item x="261"/>
        <item x="456"/>
        <item x="435"/>
        <item x="278"/>
        <item x="183"/>
        <item x="404"/>
        <item x="400"/>
        <item x="55"/>
        <item x="259"/>
        <item x="44"/>
        <item x="215"/>
        <item x="39"/>
        <item x="267"/>
        <item x="366"/>
        <item x="201"/>
        <item x="381"/>
        <item x="140"/>
        <item x="191"/>
        <item t="default"/>
      </items>
    </pivotField>
  </pivotFields>
  <rowFields count="1">
    <field x="1"/>
  </rowFields>
  <rowItems count="11">
    <i>
      <x v="108"/>
    </i>
    <i>
      <x v="51"/>
    </i>
    <i>
      <x v="320"/>
    </i>
    <i>
      <x v="120"/>
    </i>
    <i>
      <x v="303"/>
    </i>
    <i>
      <x v="193"/>
    </i>
    <i>
      <x v="328"/>
    </i>
    <i>
      <x v="136"/>
    </i>
    <i>
      <x v="360"/>
    </i>
    <i>
      <x v="184"/>
    </i>
    <i t="grand">
      <x/>
    </i>
  </rowItems>
  <colItems count="1">
    <i/>
  </colItems>
  <dataFields count="1">
    <dataField name="Sum of Profitability" fld="22" baseField="0" baseItem="0" numFmtId="165"/>
  </dataFields>
  <chartFormats count="2">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18C743-4928-41AB-AAD4-D391B00297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74:B78" firstHeaderRow="1" firstDataRow="1" firstDataCol="1"/>
  <pivotFields count="23">
    <pivotField showAll="0"/>
    <pivotField showAll="0"/>
    <pivotField numFmtId="2" showAll="0"/>
    <pivotField showAll="0"/>
    <pivotField showAll="0"/>
    <pivotField showAll="0"/>
    <pivotField showAll="0"/>
    <pivotField showAll="0"/>
    <pivotField showAll="0"/>
    <pivotField showAll="0"/>
    <pivotField dataField="1" numFmtId="165" showAll="0">
      <items count="489">
        <item x="294"/>
        <item x="343"/>
        <item x="464"/>
        <item x="78"/>
        <item x="337"/>
        <item x="325"/>
        <item x="257"/>
        <item x="378"/>
        <item x="119"/>
        <item x="124"/>
        <item x="93"/>
        <item x="82"/>
        <item x="64"/>
        <item x="452"/>
        <item x="311"/>
        <item x="316"/>
        <item x="404"/>
        <item x="408"/>
        <item x="246"/>
        <item x="135"/>
        <item x="220"/>
        <item x="314"/>
        <item x="290"/>
        <item x="455"/>
        <item x="32"/>
        <item x="358"/>
        <item x="182"/>
        <item x="300"/>
        <item x="347"/>
        <item x="427"/>
        <item x="367"/>
        <item x="12"/>
        <item x="271"/>
        <item x="372"/>
        <item x="459"/>
        <item x="112"/>
        <item x="401"/>
        <item x="113"/>
        <item x="462"/>
        <item x="5"/>
        <item x="236"/>
        <item x="356"/>
        <item x="414"/>
        <item x="184"/>
        <item x="448"/>
        <item x="310"/>
        <item x="243"/>
        <item x="304"/>
        <item x="201"/>
        <item x="299"/>
        <item x="364"/>
        <item x="466"/>
        <item x="366"/>
        <item x="158"/>
        <item x="213"/>
        <item x="435"/>
        <item x="45"/>
        <item x="72"/>
        <item x="40"/>
        <item x="205"/>
        <item x="140"/>
        <item x="268"/>
        <item x="256"/>
        <item x="34"/>
        <item x="412"/>
        <item x="421"/>
        <item x="193"/>
        <item x="460"/>
        <item x="431"/>
        <item x="125"/>
        <item x="399"/>
        <item x="46"/>
        <item x="391"/>
        <item x="58"/>
        <item x="362"/>
        <item x="477"/>
        <item x="393"/>
        <item x="298"/>
        <item x="225"/>
        <item x="376"/>
        <item x="219"/>
        <item x="114"/>
        <item x="85"/>
        <item x="6"/>
        <item x="409"/>
        <item x="447"/>
        <item x="103"/>
        <item x="24"/>
        <item x="178"/>
        <item x="348"/>
        <item x="228"/>
        <item x="315"/>
        <item x="369"/>
        <item x="420"/>
        <item x="476"/>
        <item x="277"/>
        <item x="92"/>
        <item x="436"/>
        <item x="171"/>
        <item x="105"/>
        <item x="385"/>
        <item x="444"/>
        <item x="291"/>
        <item x="470"/>
        <item x="162"/>
        <item x="50"/>
        <item x="148"/>
        <item x="62"/>
        <item x="115"/>
        <item x="293"/>
        <item x="139"/>
        <item x="20"/>
        <item x="136"/>
        <item x="168"/>
        <item x="313"/>
        <item x="346"/>
        <item x="339"/>
        <item x="4"/>
        <item x="437"/>
        <item x="143"/>
        <item x="17"/>
        <item x="457"/>
        <item x="345"/>
        <item x="106"/>
        <item x="374"/>
        <item x="185"/>
        <item x="332"/>
        <item x="251"/>
        <item x="270"/>
        <item x="217"/>
        <item x="138"/>
        <item x="282"/>
        <item x="66"/>
        <item x="73"/>
        <item x="104"/>
        <item x="170"/>
        <item x="250"/>
        <item x="405"/>
        <item x="13"/>
        <item x="116"/>
        <item x="386"/>
        <item x="80"/>
        <item x="133"/>
        <item x="77"/>
        <item x="387"/>
        <item x="350"/>
        <item x="359"/>
        <item x="461"/>
        <item x="360"/>
        <item x="253"/>
        <item x="438"/>
        <item x="189"/>
        <item x="152"/>
        <item x="107"/>
        <item x="467"/>
        <item x="344"/>
        <item x="394"/>
        <item x="202"/>
        <item x="164"/>
        <item x="146"/>
        <item x="211"/>
        <item x="429"/>
        <item x="2"/>
        <item x="454"/>
        <item x="186"/>
        <item x="361"/>
        <item x="479"/>
        <item x="207"/>
        <item x="355"/>
        <item x="197"/>
        <item x="26"/>
        <item x="428"/>
        <item x="341"/>
        <item x="482"/>
        <item x="181"/>
        <item x="319"/>
        <item x="418"/>
        <item x="450"/>
        <item x="262"/>
        <item x="289"/>
        <item x="336"/>
        <item x="306"/>
        <item x="14"/>
        <item x="65"/>
        <item x="51"/>
        <item x="261"/>
        <item x="55"/>
        <item x="442"/>
        <item x="240"/>
        <item x="260"/>
        <item x="174"/>
        <item x="480"/>
        <item x="307"/>
        <item x="180"/>
        <item x="388"/>
        <item x="402"/>
        <item x="416"/>
        <item x="434"/>
        <item x="224"/>
        <item x="458"/>
        <item x="317"/>
        <item x="410"/>
        <item x="255"/>
        <item x="3"/>
        <item x="389"/>
        <item x="157"/>
        <item x="44"/>
        <item x="21"/>
        <item x="117"/>
        <item x="37"/>
        <item x="338"/>
        <item x="169"/>
        <item x="89"/>
        <item x="244"/>
        <item x="22"/>
        <item x="147"/>
        <item x="403"/>
        <item x="274"/>
        <item x="35"/>
        <item x="351"/>
        <item x="54"/>
        <item x="292"/>
        <item x="280"/>
        <item x="74"/>
        <item x="28"/>
        <item x="275"/>
        <item x="110"/>
        <item x="165"/>
        <item x="99"/>
        <item x="303"/>
        <item x="287"/>
        <item x="264"/>
        <item x="320"/>
        <item x="281"/>
        <item x="327"/>
        <item x="232"/>
        <item x="445"/>
        <item x="86"/>
        <item x="59"/>
        <item x="10"/>
        <item x="222"/>
        <item x="329"/>
        <item x="53"/>
        <item x="465"/>
        <item x="183"/>
        <item x="71"/>
        <item x="354"/>
        <item x="79"/>
        <item x="142"/>
        <item x="198"/>
        <item x="395"/>
        <item x="163"/>
        <item x="266"/>
        <item x="267"/>
        <item x="322"/>
        <item x="200"/>
        <item x="230"/>
        <item x="379"/>
        <item x="305"/>
        <item x="284"/>
        <item x="76"/>
        <item x="38"/>
        <item x="263"/>
        <item x="90"/>
        <item x="475"/>
        <item x="333"/>
        <item x="258"/>
        <item x="390"/>
        <item x="371"/>
        <item x="472"/>
        <item x="9"/>
        <item x="400"/>
        <item x="36"/>
        <item x="227"/>
        <item x="88"/>
        <item x="60"/>
        <item x="474"/>
        <item x="108"/>
        <item x="349"/>
        <item x="486"/>
        <item x="127"/>
        <item x="42"/>
        <item x="61"/>
        <item x="102"/>
        <item x="161"/>
        <item x="57"/>
        <item x="95"/>
        <item x="29"/>
        <item x="83"/>
        <item x="109"/>
        <item x="56"/>
        <item x="273"/>
        <item x="285"/>
        <item x="432"/>
        <item x="97"/>
        <item x="75"/>
        <item x="0"/>
        <item x="440"/>
        <item x="231"/>
        <item x="456"/>
        <item x="70"/>
        <item x="111"/>
        <item x="308"/>
        <item x="425"/>
        <item x="87"/>
        <item x="419"/>
        <item x="249"/>
        <item x="365"/>
        <item x="430"/>
        <item x="439"/>
        <item x="166"/>
        <item x="398"/>
        <item x="150"/>
        <item x="199"/>
        <item x="279"/>
        <item x="120"/>
        <item x="208"/>
        <item x="128"/>
        <item x="272"/>
        <item x="121"/>
        <item x="52"/>
        <item x="238"/>
        <item x="159"/>
        <item x="43"/>
        <item x="41"/>
        <item x="321"/>
        <item x="8"/>
        <item x="216"/>
        <item x="129"/>
        <item x="248"/>
        <item x="196"/>
        <item x="451"/>
        <item x="453"/>
        <item x="194"/>
        <item x="392"/>
        <item x="155"/>
        <item x="33"/>
        <item x="67"/>
        <item x="441"/>
        <item x="239"/>
        <item x="214"/>
        <item x="335"/>
        <item x="235"/>
        <item x="221"/>
        <item x="309"/>
        <item x="132"/>
        <item x="229"/>
        <item x="301"/>
        <item x="242"/>
        <item x="1"/>
        <item x="160"/>
        <item x="27"/>
        <item x="81"/>
        <item x="69"/>
        <item x="484"/>
        <item x="397"/>
        <item x="471"/>
        <item x="215"/>
        <item x="63"/>
        <item x="297"/>
        <item x="167"/>
        <item x="100"/>
        <item x="175"/>
        <item x="209"/>
        <item x="283"/>
        <item x="331"/>
        <item x="144"/>
        <item x="481"/>
        <item x="145"/>
        <item x="413"/>
        <item x="192"/>
        <item x="154"/>
        <item x="380"/>
        <item x="417"/>
        <item x="254"/>
        <item x="326"/>
        <item x="153"/>
        <item x="15"/>
        <item x="363"/>
        <item x="172"/>
        <item x="276"/>
        <item x="68"/>
        <item x="396"/>
        <item x="7"/>
        <item x="122"/>
        <item x="25"/>
        <item x="446"/>
        <item x="203"/>
        <item x="318"/>
        <item x="487"/>
        <item x="426"/>
        <item x="187"/>
        <item x="98"/>
        <item x="118"/>
        <item x="210"/>
        <item x="433"/>
        <item x="340"/>
        <item x="383"/>
        <item x="278"/>
        <item x="370"/>
        <item x="443"/>
        <item x="342"/>
        <item x="233"/>
        <item x="234"/>
        <item x="19"/>
        <item x="30"/>
        <item x="226"/>
        <item x="237"/>
        <item x="296"/>
        <item x="177"/>
        <item x="223"/>
        <item x="377"/>
        <item x="191"/>
        <item x="212"/>
        <item x="190"/>
        <item x="141"/>
        <item x="375"/>
        <item x="204"/>
        <item x="323"/>
        <item x="94"/>
        <item x="324"/>
        <item x="31"/>
        <item x="218"/>
        <item x="18"/>
        <item x="188"/>
        <item x="352"/>
        <item x="241"/>
        <item x="485"/>
        <item x="134"/>
        <item x="265"/>
        <item x="449"/>
        <item x="473"/>
        <item x="126"/>
        <item x="245"/>
        <item x="424"/>
        <item x="384"/>
        <item x="96"/>
        <item x="91"/>
        <item x="176"/>
        <item x="137"/>
        <item x="353"/>
        <item x="48"/>
        <item x="382"/>
        <item x="173"/>
        <item x="368"/>
        <item x="463"/>
        <item x="101"/>
        <item x="295"/>
        <item x="478"/>
        <item x="423"/>
        <item x="288"/>
        <item x="11"/>
        <item x="468"/>
        <item x="302"/>
        <item x="130"/>
        <item x="123"/>
        <item x="151"/>
        <item x="381"/>
        <item x="422"/>
        <item x="84"/>
        <item x="252"/>
        <item x="195"/>
        <item x="411"/>
        <item x="47"/>
        <item x="483"/>
        <item x="206"/>
        <item x="357"/>
        <item x="407"/>
        <item x="373"/>
        <item x="406"/>
        <item x="179"/>
        <item x="247"/>
        <item x="156"/>
        <item x="469"/>
        <item x="259"/>
        <item x="149"/>
        <item x="23"/>
        <item x="415"/>
        <item x="269"/>
        <item x="330"/>
        <item x="328"/>
        <item x="49"/>
        <item x="334"/>
        <item x="16"/>
        <item x="312"/>
        <item x="286"/>
        <item x="39"/>
        <item x="131"/>
        <item t="default"/>
      </items>
    </pivotField>
    <pivotField showAll="0"/>
    <pivotField showAll="0"/>
    <pivotField showAll="0"/>
    <pivotField showAll="0"/>
    <pivotField showAll="0"/>
    <pivotField numFmtId="165" showAll="0"/>
    <pivotField showAll="0"/>
    <pivotField numFmtId="164" showAll="0"/>
    <pivotField axis="axisRow" showAll="0">
      <items count="4">
        <item x="1"/>
        <item x="2"/>
        <item x="0"/>
        <item t="default"/>
      </items>
    </pivotField>
    <pivotField showAll="0">
      <items count="5">
        <item x="3"/>
        <item x="1"/>
        <item x="0"/>
        <item x="2"/>
        <item t="default"/>
      </items>
    </pivotField>
    <pivotField numFmtId="165" showAll="0"/>
    <pivotField numFmtId="165" showAll="0"/>
  </pivotFields>
  <rowFields count="1">
    <field x="19"/>
  </rowFields>
  <rowItems count="4">
    <i>
      <x/>
    </i>
    <i>
      <x v="1"/>
    </i>
    <i>
      <x v="2"/>
    </i>
    <i t="grand">
      <x/>
    </i>
  </rowItems>
  <colItems count="1">
    <i/>
  </colItems>
  <dataFields count="1">
    <dataField name="Sum of Shipping costs" fld="10" baseField="19" baseItem="0" numFmtId="165"/>
  </dataFields>
  <chartFormats count="8">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9" count="1" selected="0">
            <x v="0"/>
          </reference>
        </references>
      </pivotArea>
    </chartFormat>
    <chartFormat chart="22" format="7">
      <pivotArea type="data" outline="0" fieldPosition="0">
        <references count="2">
          <reference field="4294967294" count="1" selected="0">
            <x v="0"/>
          </reference>
          <reference field="19" count="1" selected="0">
            <x v="1"/>
          </reference>
        </references>
      </pivotArea>
    </chartFormat>
    <chartFormat chart="22" format="8">
      <pivotArea type="data" outline="0" fieldPosition="0">
        <references count="2">
          <reference field="4294967294" count="1" selected="0">
            <x v="0"/>
          </reference>
          <reference field="19" count="1" selected="0">
            <x v="2"/>
          </reference>
        </references>
      </pivotArea>
    </chartFormat>
    <chartFormat chart="33" format="13" series="1">
      <pivotArea type="data" outline="0" fieldPosition="0">
        <references count="1">
          <reference field="4294967294" count="1" selected="0">
            <x v="0"/>
          </reference>
        </references>
      </pivotArea>
    </chartFormat>
    <chartFormat chart="33" format="14">
      <pivotArea type="data" outline="0" fieldPosition="0">
        <references count="2">
          <reference field="4294967294" count="1" selected="0">
            <x v="0"/>
          </reference>
          <reference field="19" count="1" selected="0">
            <x v="0"/>
          </reference>
        </references>
      </pivotArea>
    </chartFormat>
    <chartFormat chart="33" format="15">
      <pivotArea type="data" outline="0" fieldPosition="0">
        <references count="2">
          <reference field="4294967294" count="1" selected="0">
            <x v="0"/>
          </reference>
          <reference field="19" count="1" selected="0">
            <x v="1"/>
          </reference>
        </references>
      </pivotArea>
    </chartFormat>
    <chartFormat chart="33" format="16">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9AB53A-E9A5-43B5-85F5-B02D365676C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5:I9" firstHeaderRow="1" firstDataRow="1" firstDataCol="1"/>
  <pivotFields count="23">
    <pivotField showAll="0"/>
    <pivotField showAll="0"/>
    <pivotField numFmtId="2" showAll="0"/>
    <pivotField showAll="0"/>
    <pivotField showAll="0"/>
    <pivotField dataField="1" showAll="0"/>
    <pivotField showAll="0"/>
    <pivotField showAll="0"/>
    <pivotField showAll="0"/>
    <pivotField showAll="0"/>
    <pivotField numFmtId="165" showAll="0"/>
    <pivotField showAll="0"/>
    <pivotField showAll="0"/>
    <pivotField showAll="0"/>
    <pivotField showAll="0"/>
    <pivotField showAll="0"/>
    <pivotField numFmtId="165" showAll="0"/>
    <pivotField showAll="0"/>
    <pivotField numFmtId="164" showAll="0"/>
    <pivotField showAll="0">
      <items count="4">
        <item x="1"/>
        <item x="2"/>
        <item x="0"/>
        <item t="default"/>
      </items>
    </pivotField>
    <pivotField axis="axisRow" showAll="0">
      <items count="5">
        <item h="1" x="3"/>
        <item x="1"/>
        <item x="0"/>
        <item x="2"/>
        <item t="default"/>
      </items>
    </pivotField>
    <pivotField numFmtId="165" showAll="0"/>
    <pivotField numFmtId="165" showAll="0"/>
  </pivotFields>
  <rowFields count="1">
    <field x="20"/>
  </rowFields>
  <rowItems count="4">
    <i>
      <x v="1"/>
    </i>
    <i>
      <x v="2"/>
    </i>
    <i>
      <x v="3"/>
    </i>
    <i t="grand">
      <x/>
    </i>
  </rowItems>
  <colItems count="1">
    <i/>
  </colItems>
  <dataFields count="1">
    <dataField name="Average of Lead times" fld="5" subtotal="average" baseField="20" baseItem="1"/>
  </dataFields>
  <formats count="1">
    <format dxfId="3">
      <pivotArea collapsedLevelsAreSubtotals="1" fieldPosition="0">
        <references count="2">
          <reference field="4294967294" count="1" selected="0">
            <x v="0"/>
          </reference>
          <reference field="20" count="0"/>
        </references>
      </pivotArea>
    </format>
  </formats>
  <chartFormats count="2">
    <chartFormat chart="7" format="5"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383E4B-3A63-42C2-ACA5-95DCA104EB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0:B16" firstHeaderRow="1" firstDataRow="1" firstDataCol="1"/>
  <pivotFields count="23">
    <pivotField showAll="0"/>
    <pivotField showAll="0"/>
    <pivotField numFmtId="2" showAll="0"/>
    <pivotField showAll="0"/>
    <pivotField showAll="0"/>
    <pivotField showAll="0"/>
    <pivotField showAll="0"/>
    <pivotField showAll="0"/>
    <pivotField showAll="0"/>
    <pivotField showAll="0"/>
    <pivotField dataField="1" numFmtId="165" showAll="0"/>
    <pivotField axis="axisRow" showAll="0">
      <items count="7">
        <item h="1" x="5"/>
        <item x="2"/>
        <item x="3"/>
        <item x="4"/>
        <item x="0"/>
        <item x="1"/>
        <item t="default"/>
      </items>
    </pivotField>
    <pivotField showAll="0"/>
    <pivotField showAll="0"/>
    <pivotField showAll="0"/>
    <pivotField showAll="0"/>
    <pivotField numFmtId="165" showAll="0"/>
    <pivotField showAll="0"/>
    <pivotField numFmtId="164" showAll="0"/>
    <pivotField showAll="0">
      <items count="4">
        <item x="1"/>
        <item x="2"/>
        <item x="0"/>
        <item t="default"/>
      </items>
    </pivotField>
    <pivotField showAll="0"/>
    <pivotField numFmtId="165" showAll="0"/>
    <pivotField numFmtId="165" showAll="0"/>
  </pivotFields>
  <rowFields count="1">
    <field x="11"/>
  </rowFields>
  <rowItems count="6">
    <i>
      <x v="1"/>
    </i>
    <i>
      <x v="2"/>
    </i>
    <i>
      <x v="3"/>
    </i>
    <i>
      <x v="4"/>
    </i>
    <i>
      <x v="5"/>
    </i>
    <i t="grand">
      <x/>
    </i>
  </rowItems>
  <colItems count="1">
    <i/>
  </colItems>
  <dataFields count="1">
    <dataField name="Sum of Shipping costs" fld="10" baseField="0" baseItem="0" numFmtId="165"/>
  </dataFields>
  <formats count="1">
    <format dxfId="4">
      <pivotArea collapsedLevelsAreSubtotals="1" fieldPosition="0">
        <references count="2">
          <reference field="4294967294" count="1" selected="0">
            <x v="0"/>
          </reference>
          <reference field="11" count="0"/>
        </references>
      </pivotArea>
    </format>
  </formats>
  <chartFormats count="8">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11" count="1" selected="0">
            <x v="1"/>
          </reference>
        </references>
      </pivotArea>
    </chartFormat>
    <chartFormat chart="8" format="38">
      <pivotArea type="data" outline="0" fieldPosition="0">
        <references count="2">
          <reference field="4294967294" count="1" selected="0">
            <x v="0"/>
          </reference>
          <reference field="11" count="1" selected="0">
            <x v="2"/>
          </reference>
        </references>
      </pivotArea>
    </chartFormat>
    <chartFormat chart="8" format="39">
      <pivotArea type="data" outline="0" fieldPosition="0">
        <references count="2">
          <reference field="4294967294" count="1" selected="0">
            <x v="0"/>
          </reference>
          <reference field="11" count="1" selected="0">
            <x v="3"/>
          </reference>
        </references>
      </pivotArea>
    </chartFormat>
    <chartFormat chart="8" format="40">
      <pivotArea type="data" outline="0" fieldPosition="0">
        <references count="2">
          <reference field="4294967294" count="1" selected="0">
            <x v="0"/>
          </reference>
          <reference field="11" count="1" selected="0">
            <x v="4"/>
          </reference>
        </references>
      </pivotArea>
    </chartFormat>
    <chartFormat chart="8" format="41">
      <pivotArea type="data" outline="0" fieldPosition="0">
        <references count="2">
          <reference field="4294967294" count="1" selected="0">
            <x v="0"/>
          </reference>
          <reference field="11" count="1" selected="0">
            <x v="5"/>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863BA8-C4CB-4133-A1A3-F1DBB84530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D4" firstHeaderRow="1" firstDataRow="1" firstDataCol="0"/>
  <pivotFields count="23">
    <pivotField showAll="0"/>
    <pivotField dataField="1" showAll="0"/>
    <pivotField numFmtId="2"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numFmtId="165" showAll="0"/>
    <pivotField showAll="0"/>
    <pivotField numFmtId="164" showAll="0"/>
    <pivotField showAll="0">
      <items count="4">
        <item x="1"/>
        <item x="2"/>
        <item x="0"/>
        <item t="default"/>
      </items>
    </pivotField>
    <pivotField showAll="0"/>
    <pivotField numFmtId="165" showAll="0"/>
    <pivotField numFmtId="165" showAll="0"/>
  </pivotFields>
  <rowItems count="1">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EC18D8-0720-4698-93B5-93D112C3F568}" name="Route by shipping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7" firstHeaderRow="1" firstDataRow="1" firstDataCol="1"/>
  <pivotFields count="23">
    <pivotField showAll="0"/>
    <pivotField showAll="0"/>
    <pivotField numFmtId="2" showAll="0"/>
    <pivotField showAll="0"/>
    <pivotField showAll="0"/>
    <pivotField showAll="0"/>
    <pivotField showAll="0"/>
    <pivotField showAll="0"/>
    <pivotField showAll="0"/>
    <pivotField showAll="0"/>
    <pivotField dataField="1" numFmtId="165" showAll="0"/>
    <pivotField showAll="0"/>
    <pivotField showAll="0"/>
    <pivotField showAll="0"/>
    <pivotField showAll="0"/>
    <pivotField showAll="0"/>
    <pivotField numFmtId="165" showAll="0"/>
    <pivotField showAll="0"/>
    <pivotField numFmtId="164" showAll="0"/>
    <pivotField showAll="0">
      <items count="4">
        <item x="1"/>
        <item x="2"/>
        <item x="0"/>
        <item t="default"/>
      </items>
    </pivotField>
    <pivotField axis="axisRow" showAll="0">
      <items count="5">
        <item h="1" x="3"/>
        <item x="1"/>
        <item x="0"/>
        <item x="2"/>
        <item t="default"/>
      </items>
    </pivotField>
    <pivotField numFmtId="165" showAll="0"/>
    <pivotField numFmtId="165" showAll="0"/>
  </pivotFields>
  <rowFields count="1">
    <field x="20"/>
  </rowFields>
  <rowItems count="4">
    <i>
      <x v="1"/>
    </i>
    <i>
      <x v="2"/>
    </i>
    <i>
      <x v="3"/>
    </i>
    <i t="grand">
      <x/>
    </i>
  </rowItems>
  <colItems count="1">
    <i/>
  </colItems>
  <dataFields count="1">
    <dataField name="Sum of Shipping costs" fld="10" baseField="20" baseItem="0" numFmtId="165"/>
  </dataFields>
  <formats count="1">
    <format dxfId="5">
      <pivotArea collapsedLevelsAreSubtotals="1" fieldPosition="0">
        <references count="2">
          <reference field="4294967294" count="1" selected="0">
            <x v="0"/>
          </reference>
          <reference field="20" count="0"/>
        </references>
      </pivotArea>
    </format>
  </formats>
  <chartFormats count="2">
    <chartFormat chart="42" format="2"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CB69F8-FFB9-473C-96F5-19D5309B8F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7:B68" firstHeaderRow="1" firstDataRow="1" firstDataCol="1"/>
  <pivotFields count="23">
    <pivotField showAll="0"/>
    <pivotField axis="axisRow" showAll="0" measureFilter="1">
      <items count="489">
        <item x="0"/>
        <item x="1"/>
        <item x="10"/>
        <item x="96"/>
        <item x="97"/>
        <item x="98"/>
        <item x="99"/>
        <item x="100"/>
        <item x="101"/>
        <item x="102"/>
        <item x="103"/>
        <item x="104"/>
        <item x="105"/>
        <item x="11"/>
        <item x="106"/>
        <item x="107"/>
        <item x="108"/>
        <item x="109"/>
        <item x="110"/>
        <item x="111"/>
        <item x="112"/>
        <item x="113"/>
        <item x="114"/>
        <item x="12"/>
        <item x="115"/>
        <item x="116"/>
        <item x="117"/>
        <item x="118"/>
        <item x="119"/>
        <item x="120"/>
        <item x="121"/>
        <item x="122"/>
        <item x="123"/>
        <item x="124"/>
        <item x="13"/>
        <item x="125"/>
        <item x="126"/>
        <item x="127"/>
        <item x="128"/>
        <item x="129"/>
        <item x="130"/>
        <item x="131"/>
        <item x="132"/>
        <item x="133"/>
        <item x="14"/>
        <item x="134"/>
        <item x="135"/>
        <item x="136"/>
        <item x="137"/>
        <item x="138"/>
        <item x="139"/>
        <item x="140"/>
        <item x="141"/>
        <item x="142"/>
        <item x="43"/>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4"/>
        <item x="417"/>
        <item x="418"/>
        <item x="419"/>
        <item x="420"/>
        <item x="421"/>
        <item x="422"/>
        <item x="423"/>
        <item x="424"/>
        <item x="425"/>
        <item x="426"/>
        <item x="45"/>
        <item x="427"/>
        <item x="428"/>
        <item x="429"/>
        <item x="430"/>
        <item x="431"/>
        <item x="432"/>
        <item x="433"/>
        <item x="434"/>
        <item x="435"/>
        <item x="46"/>
        <item x="436"/>
        <item x="437"/>
        <item x="438"/>
        <item x="439"/>
        <item x="440"/>
        <item x="441"/>
        <item x="442"/>
        <item x="443"/>
        <item x="444"/>
        <item x="445"/>
        <item x="47"/>
        <item x="446"/>
        <item x="447"/>
        <item x="448"/>
        <item x="449"/>
        <item x="450"/>
        <item x="451"/>
        <item x="452"/>
        <item x="453"/>
        <item x="454"/>
        <item x="455"/>
        <item x="485"/>
        <item x="456"/>
        <item x="457"/>
        <item x="458"/>
        <item x="459"/>
        <item x="460"/>
        <item x="461"/>
        <item x="462"/>
        <item x="463"/>
        <item x="464"/>
        <item x="465"/>
        <item x="48"/>
        <item x="466"/>
        <item x="467"/>
        <item x="468"/>
        <item x="469"/>
        <item x="470"/>
        <item x="471"/>
        <item x="472"/>
        <item x="473"/>
        <item x="474"/>
        <item x="49"/>
        <item x="475"/>
        <item x="476"/>
        <item x="477"/>
        <item x="478"/>
        <item x="479"/>
        <item x="480"/>
        <item x="481"/>
        <item x="482"/>
        <item x="483"/>
        <item x="484"/>
        <item x="5"/>
        <item x="50"/>
        <item x="51"/>
        <item x="52"/>
        <item x="53"/>
        <item x="54"/>
        <item x="55"/>
        <item x="56"/>
        <item x="57"/>
        <item x="58"/>
        <item x="59"/>
        <item x="6"/>
        <item x="60"/>
        <item x="61"/>
        <item x="62"/>
        <item x="63"/>
        <item x="64"/>
        <item x="65"/>
        <item x="486"/>
        <item x="66"/>
        <item x="67"/>
        <item x="7"/>
        <item x="42"/>
        <item x="68"/>
        <item x="69"/>
        <item x="70"/>
        <item x="71"/>
        <item x="72"/>
        <item x="73"/>
        <item x="74"/>
        <item x="75"/>
        <item x="76"/>
        <item x="8"/>
        <item x="77"/>
        <item x="78"/>
        <item x="79"/>
        <item x="80"/>
        <item x="81"/>
        <item x="82"/>
        <item x="83"/>
        <item x="84"/>
        <item x="85"/>
        <item x="86"/>
        <item x="9"/>
        <item x="87"/>
        <item x="88"/>
        <item x="89"/>
        <item x="90"/>
        <item x="91"/>
        <item x="92"/>
        <item x="93"/>
        <item x="94"/>
        <item x="95"/>
        <item t="default"/>
      </items>
    </pivotField>
    <pivotField numFmtId="2"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numFmtId="165" showAll="0"/>
    <pivotField showAll="0"/>
    <pivotField numFmtId="164" showAll="0"/>
    <pivotField showAll="0"/>
    <pivotField showAll="0"/>
    <pivotField numFmtId="165" showAll="0"/>
    <pivotField dataField="1" numFmtId="165" showAll="0"/>
  </pivotFields>
  <rowFields count="1">
    <field x="1"/>
  </rowFields>
  <rowItems count="11">
    <i>
      <x v="74"/>
    </i>
    <i>
      <x v="76"/>
    </i>
    <i>
      <x v="85"/>
    </i>
    <i>
      <x v="93"/>
    </i>
    <i>
      <x v="189"/>
    </i>
    <i>
      <x v="218"/>
    </i>
    <i>
      <x v="270"/>
    </i>
    <i>
      <x v="296"/>
    </i>
    <i>
      <x v="435"/>
    </i>
    <i>
      <x v="448"/>
    </i>
    <i t="grand">
      <x/>
    </i>
  </rowItems>
  <colItems count="1">
    <i/>
  </colItems>
  <dataFields count="1">
    <dataField name="Total Profitability" fld="22" baseField="1" baseItem="270" numFmtId="165"/>
  </dataFields>
  <chartFormats count="3">
    <chartFormat chart="19"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5A3D0FD7-4D5E-4A20-82B9-387F8F9A5E65}" sourceName="Transportation modes">
  <pivotTables>
    <pivotTable tabId="2" name="Route by shipping cost"/>
    <pivotTable tabId="2" name="PivotTable11"/>
    <pivotTable tabId="2" name="PivotTable2"/>
    <pivotTable tabId="2" name="PivotTable3"/>
  </pivotTables>
  <data>
    <tabular pivotCacheId="52109467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ability" xr10:uid="{6222EA18-C0AA-4CDC-89F0-634714FB90EF}" sourceName="Profitability">
  <pivotTables>
    <pivotTable tabId="2" name="PivotTable6"/>
  </pivotTables>
  <data>
    <tabular pivotCacheId="521094671">
      <items count="488">
        <i x="61" s="1"/>
        <i x="177" s="1"/>
        <i x="162" s="1"/>
        <i x="290" s="1"/>
        <i x="263" s="1"/>
        <i x="5" s="1"/>
        <i x="160" s="1"/>
        <i x="359" s="1"/>
        <i x="170" s="1"/>
        <i x="336" s="1"/>
        <i x="239" s="1"/>
        <i x="434" s="1"/>
        <i x="165" s="1"/>
        <i x="321" s="1"/>
        <i x="182" s="1"/>
        <i x="137" s="1"/>
        <i x="350" s="1"/>
        <i x="439" s="1"/>
        <i x="211" s="1"/>
        <i x="202" s="1"/>
        <i x="186" s="1"/>
        <i x="294" s="1"/>
        <i x="351" s="1"/>
        <i x="417" s="1"/>
        <i x="242" s="1"/>
        <i x="167" s="1"/>
        <i x="254" s="1"/>
        <i x="243" s="1"/>
        <i x="147" s="1"/>
        <i x="150" s="1"/>
        <i x="466" s="1"/>
        <i x="339" s="1"/>
        <i x="66" s="1"/>
        <i x="37" s="1"/>
        <i x="64" s="1"/>
        <i x="123" s="1"/>
        <i x="216" s="1"/>
        <i x="138" s="1"/>
        <i x="264" s="1"/>
        <i x="257" s="1"/>
        <i x="395" s="1"/>
        <i x="266" s="1"/>
        <i x="470" s="1"/>
        <i x="295" s="1"/>
        <i x="234" s="1"/>
        <i x="300" s="1"/>
        <i x="94" s="1"/>
        <i x="131" s="1"/>
        <i x="43" s="1"/>
        <i x="155" s="1"/>
        <i x="169" s="1"/>
        <i x="427" s="1"/>
        <i x="206" s="1"/>
        <i x="460" s="1"/>
        <i x="86" s="1"/>
        <i x="8" s="1"/>
        <i x="305" s="1"/>
        <i x="124" s="1"/>
        <i x="241" s="1"/>
        <i x="361" s="1"/>
        <i x="416" s="1"/>
        <i x="468" s="1"/>
        <i x="432" s="1"/>
        <i x="163" s="1"/>
        <i x="464" s="1"/>
        <i x="228" s="1"/>
        <i x="205" s="1"/>
        <i x="332" s="1"/>
        <i x="200" s="1"/>
        <i x="299" s="1"/>
        <i x="196" s="1"/>
        <i x="63" s="1"/>
        <i x="448" s="1"/>
        <i x="117" s="1"/>
        <i x="0" s="1"/>
        <i x="28" s="1"/>
        <i x="3" s="1"/>
        <i x="175" s="1"/>
        <i x="238" s="1"/>
        <i x="120" s="1"/>
        <i x="478" s="1"/>
        <i x="334" s="1"/>
        <i x="441" s="1"/>
        <i x="397" s="1"/>
        <i x="249" s="1"/>
        <i x="67" s="1"/>
        <i x="229" s="1"/>
        <i x="328" s="1"/>
        <i x="284" s="1"/>
        <i x="158" s="1"/>
        <i x="445" s="1"/>
        <i x="195" s="1"/>
        <i x="348" s="1"/>
        <i x="337" s="1"/>
        <i x="275" s="1"/>
        <i x="268" s="1"/>
        <i x="178" s="1"/>
        <i x="461" s="1"/>
        <i x="355" s="1"/>
        <i x="287" s="1"/>
        <i x="393" s="1"/>
        <i x="451" s="1"/>
        <i x="450" s="1"/>
        <i x="474" s="1"/>
        <i x="11" s="1"/>
        <i x="262" s="1"/>
        <i x="296" s="1"/>
        <i x="345" s="1"/>
        <i x="327" s="1"/>
        <i x="119" s="1"/>
        <i x="288" s="1"/>
        <i x="473" s="1"/>
        <i x="370" s="1"/>
        <i x="97" s="1"/>
        <i x="9" s="1"/>
        <i x="333" s="1"/>
        <i x="88" s="1"/>
        <i x="253" s="1"/>
        <i x="81" s="1"/>
        <i x="139" s="1"/>
        <i x="289" s="1"/>
        <i x="440" s="1"/>
        <i x="380" s="1"/>
        <i x="187" s="1"/>
        <i x="33" s="1"/>
        <i x="209" s="1"/>
        <i x="411" s="1"/>
        <i x="360" s="1"/>
        <i x="112" s="1"/>
        <i x="18" s="1"/>
        <i x="373" s="1"/>
        <i x="12" s="1"/>
        <i x="224" s="1"/>
        <i x="318" s="1"/>
        <i x="310" s="1"/>
        <i x="247" s="1"/>
        <i x="23" s="1"/>
        <i x="221" s="1"/>
        <i x="280" s="1"/>
        <i x="192" s="1"/>
        <i x="36" s="1"/>
        <i x="271" s="1"/>
        <i x="105" s="1"/>
        <i x="312" s="1"/>
        <i x="276" s="1"/>
        <i x="230" s="1"/>
        <i x="161" s="1"/>
        <i x="297" s="1"/>
        <i x="272" s="1"/>
        <i x="114" s="1"/>
        <i x="269" s="1"/>
        <i x="152" s="1"/>
        <i x="443" s="1"/>
        <i x="171" s="1"/>
        <i x="438" s="1"/>
        <i x="41" s="1"/>
        <i x="385" s="1"/>
        <i x="475" s="1"/>
        <i x="71" s="1"/>
        <i x="2" s="1"/>
        <i x="24" s="1"/>
        <i x="369" s="1"/>
        <i x="308" s="1"/>
        <i x="480" s="1"/>
        <i x="325" s="1"/>
        <i x="330" s="1"/>
        <i x="274" s="1"/>
        <i x="164" s="1"/>
        <i x="108" s="1"/>
        <i x="214" s="1"/>
        <i x="387" s="1"/>
        <i x="100" s="1"/>
        <i x="482" s="1"/>
        <i x="91" s="1"/>
        <i x="180" s="1"/>
        <i x="146" s="1"/>
        <i x="335" s="1"/>
        <i x="32" s="1"/>
        <i x="80" s="1"/>
        <i x="226" s="1"/>
        <i x="486" s="1"/>
        <i x="189" s="1"/>
        <i x="307" s="1"/>
        <i x="90" s="1"/>
        <i x="414" s="1"/>
        <i x="401" s="1"/>
        <i x="110" s="1"/>
        <i x="27" s="1"/>
        <i x="357" s="1"/>
        <i x="301" s="1"/>
        <i x="281" s="1"/>
        <i x="198" s="1"/>
        <i x="95" s="1"/>
        <i x="376" s="1"/>
        <i x="302" s="1"/>
        <i x="104" s="1"/>
        <i x="70" s="1"/>
        <i x="21" s="1"/>
        <i x="72" s="1"/>
        <i x="218" s="1"/>
        <i x="157" s="1"/>
        <i x="398" s="1"/>
        <i x="244" s="1"/>
        <i x="233" s="1"/>
        <i x="109" s="1"/>
        <i x="219" s="1"/>
        <i x="235" s="1"/>
        <i x="10" s="1"/>
        <i x="420" s="1"/>
        <i x="449" s="1"/>
        <i x="303" s="1"/>
        <i x="220" s="1"/>
        <i x="26" s="1"/>
        <i x="365" s="1"/>
        <i x="58" s="1"/>
        <i x="52" s="1"/>
        <i x="255" s="1"/>
        <i x="425" s="1"/>
        <i x="15" s="1"/>
        <i x="484" s="1"/>
        <i x="85" s="1"/>
        <i x="324" s="1"/>
        <i x="68" s="1"/>
        <i x="412" s="1"/>
        <i x="364" s="1"/>
        <i x="437" s="1"/>
        <i x="344" s="1"/>
        <i x="322" s="1"/>
        <i x="418" s="1"/>
        <i x="103" s="1"/>
        <i x="465" s="1"/>
        <i x="4" s="1"/>
        <i x="479" s="1"/>
        <i x="83" s="1"/>
        <i x="463" s="1"/>
        <i x="426" s="1"/>
        <i x="128" s="1"/>
        <i x="372" s="1"/>
        <i x="436" s="1"/>
        <i x="338" s="1"/>
        <i x="277" s="1"/>
        <i x="379" s="1"/>
        <i x="452" s="1"/>
        <i x="374" s="1"/>
        <i x="210" s="1"/>
        <i x="197" s="1"/>
        <i x="341" s="1"/>
        <i x="422" s="1"/>
        <i x="430" s="1"/>
        <i x="13" s="1"/>
        <i x="363" s="1"/>
        <i x="7" s="1"/>
        <i x="403" s="1"/>
        <i x="428" s="1"/>
        <i x="405" s="1"/>
        <i x="56" s="1"/>
        <i x="313" s="1"/>
        <i x="340" s="1"/>
        <i x="121" s="1"/>
        <i x="282" s="1"/>
        <i x="459" s="1"/>
        <i x="245" s="1"/>
        <i x="115" s="1"/>
        <i x="133" s="1"/>
        <i x="156" s="1"/>
        <i x="471" s="1"/>
        <i x="46" s="1"/>
        <i x="356" s="1"/>
        <i x="455" s="1"/>
        <i x="260" s="1"/>
        <i x="353" s="1"/>
        <i x="251" s="1"/>
        <i x="74" s="1"/>
        <i x="77" s="1"/>
        <i x="421" s="1"/>
        <i x="396" s="1"/>
        <i x="419" s="1"/>
        <i x="402" s="1"/>
        <i x="93" s="1"/>
        <i x="476" s="1"/>
        <i x="447" s="1"/>
        <i x="390" s="1"/>
        <i x="203" s="1"/>
        <i x="487" s="1"/>
        <i x="134" s="1"/>
        <i x="116" s="1"/>
        <i x="291" s="1"/>
        <i x="265" s="1"/>
        <i x="111" s="1"/>
        <i x="51" s="1"/>
        <i x="98" s="1"/>
        <i x="477" s="1"/>
        <i x="106" s="1"/>
        <i x="62" s="1"/>
        <i x="154" s="1"/>
        <i x="142" s="1"/>
        <i x="148" s="1"/>
        <i x="185" s="1"/>
        <i x="252" s="1"/>
        <i x="82" s="1"/>
        <i x="429" s="1"/>
        <i x="204" s="1"/>
        <i x="377" s="1"/>
        <i x="273" s="1"/>
        <i x="76" s="1"/>
        <i x="415" s="1"/>
        <i x="151" s="1"/>
        <i x="317" s="1"/>
        <i x="246" s="1"/>
        <i x="166" s="1"/>
        <i x="311" s="1"/>
        <i x="173" s="1"/>
        <i x="57" s="1"/>
        <i x="231" s="1"/>
        <i x="462" s="1"/>
        <i x="424" s="1"/>
        <i x="343" s="1"/>
        <i x="50" s="1"/>
        <i x="53" s="1"/>
        <i x="292" s="1"/>
        <i x="193" s="1"/>
        <i x="145" s="1"/>
        <i x="442" s="1"/>
        <i x="129" s="1"/>
        <i x="184" s="1"/>
        <i x="293" s="1"/>
        <i x="179" s="1"/>
        <i x="256" s="1"/>
        <i x="127" s="1"/>
        <i x="319" s="1"/>
        <i x="60" s="1"/>
        <i x="1" s="1"/>
        <i x="212" s="1"/>
        <i x="406" s="1"/>
        <i x="237" s="1"/>
        <i x="306" s="1"/>
        <i x="394" s="1"/>
        <i x="122" s="1"/>
        <i x="236" s="1"/>
        <i x="431" s="1"/>
        <i x="223" s="1"/>
        <i x="384" s="1"/>
        <i x="232" s="1"/>
        <i x="34" s="1"/>
        <i x="101" s="1"/>
        <i x="217" s="1"/>
        <i x="194" s="1"/>
        <i x="135" s="1"/>
        <i x="190" s="1"/>
        <i x="59" s="1"/>
        <i x="222" s="1"/>
        <i x="40" s="1"/>
        <i x="423" s="1"/>
        <i x="141" s="1"/>
        <i x="199" s="1"/>
        <i x="16" s="1"/>
        <i x="453" s="1"/>
        <i x="329" s="1"/>
        <i x="320" s="1"/>
        <i x="99" s="1"/>
        <i x="149" s="1"/>
        <i x="118" s="1"/>
        <i x="368" s="1"/>
        <i x="248" s="1"/>
        <i x="35" s="1"/>
        <i x="96" s="1"/>
        <i x="42" s="1"/>
        <i x="346" s="1"/>
        <i x="354" s="1"/>
        <i x="444" s="1"/>
        <i x="168" s="1"/>
        <i x="174" s="1"/>
        <i x="331" s="1"/>
        <i x="19" s="1"/>
        <i x="347" s="1"/>
        <i x="25" s="1"/>
        <i x="73" s="1"/>
        <i x="29" s="1"/>
        <i x="388" s="1"/>
        <i x="392" s="1"/>
        <i x="207" s="1"/>
        <i x="227" s="1"/>
        <i x="240" s="1"/>
        <i x="472" s="1"/>
        <i x="467" s="1"/>
        <i x="30" s="1"/>
        <i x="285" s="1"/>
        <i x="38" s="1"/>
        <i x="378" s="1"/>
        <i x="391" s="1"/>
        <i x="469" s="1"/>
        <i x="125" s="1"/>
        <i x="65" s="1"/>
        <i x="78" s="1"/>
        <i x="20" s="1"/>
        <i x="132" s="1"/>
        <i x="279" s="1"/>
        <i x="483" s="1"/>
        <i x="399" s="1"/>
        <i x="383" s="1"/>
        <i x="153" s="1"/>
        <i x="314" s="1"/>
        <i x="485" s="1"/>
        <i x="159" s="1"/>
        <i x="270" s="1"/>
        <i x="54" s="1"/>
        <i x="113" s="1"/>
        <i x="342" s="1"/>
        <i x="14" s="1"/>
        <i x="481" s="1"/>
        <i x="6" s="1"/>
        <i x="47" s="1"/>
        <i x="126" s="1"/>
        <i x="367" s="1"/>
        <i x="413" s="1"/>
        <i x="358" s="1"/>
        <i x="130" s="1"/>
        <i x="213" s="1"/>
        <i x="143" s="1"/>
        <i x="298" s="1"/>
        <i x="362" s="1"/>
        <i x="458" s="1"/>
        <i x="87" s="1"/>
        <i x="69" s="1"/>
        <i x="49" s="1"/>
        <i x="225" s="1"/>
        <i x="144" s="1"/>
        <i x="352" s="1"/>
        <i x="89" s="1"/>
        <i x="102" s="1"/>
        <i x="323" s="1"/>
        <i x="304" s="1"/>
        <i x="250" s="1"/>
        <i x="176" s="1"/>
        <i x="17" s="1"/>
        <i x="454" s="1"/>
        <i x="75" s="1"/>
        <i x="375" s="1"/>
        <i x="315" s="1"/>
        <i x="386" s="1"/>
        <i x="316" s="1"/>
        <i x="409" s="1"/>
        <i x="107" s="1"/>
        <i x="371" s="1"/>
        <i x="79" s="1"/>
        <i x="188" s="1"/>
        <i x="172" s="1"/>
        <i x="407" s="1"/>
        <i x="208" s="1"/>
        <i x="326" s="1"/>
        <i x="92" s="1"/>
        <i x="446" s="1"/>
        <i x="408" s="1"/>
        <i x="136" s="1"/>
        <i x="382" s="1"/>
        <i x="286" s="1"/>
        <i x="433" s="1"/>
        <i x="349" s="1"/>
        <i x="45" s="1"/>
        <i x="31" s="1"/>
        <i x="181" s="1"/>
        <i x="22" s="1"/>
        <i x="389" s="1"/>
        <i x="457" s="1"/>
        <i x="410" s="1"/>
        <i x="309" s="1"/>
        <i x="283" s="1"/>
        <i x="48" s="1"/>
        <i x="84" s="1"/>
        <i x="258" s="1"/>
        <i x="261" s="1"/>
        <i x="456" s="1"/>
        <i x="435" s="1"/>
        <i x="278" s="1"/>
        <i x="183" s="1"/>
        <i x="404" s="1"/>
        <i x="400" s="1"/>
        <i x="55" s="1"/>
        <i x="259" s="1"/>
        <i x="44" s="1"/>
        <i x="215" s="1"/>
        <i x="39" s="1"/>
        <i x="267" s="1"/>
        <i x="366" s="1"/>
        <i x="201" s="1"/>
        <i x="381" s="1"/>
        <i x="140" s="1"/>
        <i x="19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ing_lead_time" xr10:uid="{9B1E0836-92F3-4A2E-981F-6346FDC67A0B}" sourceName="Manufacturing lead time">
  <pivotTables>
    <pivotTable tabId="2" name="PivotTable5"/>
  </pivotTables>
  <data>
    <tabular pivotCacheId="521094671">
      <items count="30">
        <i x="24" s="1"/>
        <i x="4" s="1"/>
        <i x="13" s="1"/>
        <i x="5" s="1"/>
        <i x="6" s="1"/>
        <i x="15" s="1"/>
        <i x="19" s="1"/>
        <i x="8" s="1"/>
        <i x="1" s="1"/>
        <i x="21" s="1"/>
        <i x="18" s="1"/>
        <i x="10" s="1"/>
        <i x="20" s="1"/>
        <i x="22" s="1"/>
        <i x="3" s="1"/>
        <i x="16" s="1"/>
        <i x="7" s="1"/>
        <i x="14" s="1"/>
        <i x="12" s="1"/>
        <i x="17" s="1"/>
        <i x="11" s="1"/>
        <i x="9" s="1"/>
        <i x="23" s="1"/>
        <i x="25" s="1"/>
        <i x="26" s="1"/>
        <i x="28" s="1"/>
        <i x="0" s="1"/>
        <i x="29" s="1"/>
        <i x="27"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osts" xr10:uid="{B39E2544-356B-42E2-8797-C6385B0B22D8}" sourceName="Shipping costs">
  <pivotTables>
    <pivotTable tabId="2" name="PivotTable9"/>
  </pivotTables>
  <data>
    <tabular pivotCacheId="521094671">
      <items count="488">
        <i x="294" s="1"/>
        <i x="343" s="1"/>
        <i x="464" s="1"/>
        <i x="78" s="1"/>
        <i x="337" s="1"/>
        <i x="325" s="1"/>
        <i x="257" s="1"/>
        <i x="378" s="1"/>
        <i x="119" s="1"/>
        <i x="124" s="1"/>
        <i x="93" s="1"/>
        <i x="82" s="1"/>
        <i x="64" s="1"/>
        <i x="452" s="1"/>
        <i x="311" s="1"/>
        <i x="316" s="1"/>
        <i x="404" s="1"/>
        <i x="408" s="1"/>
        <i x="246" s="1"/>
        <i x="135" s="1"/>
        <i x="220" s="1"/>
        <i x="314" s="1"/>
        <i x="290" s="1"/>
        <i x="455" s="1"/>
        <i x="32" s="1"/>
        <i x="358" s="1"/>
        <i x="182" s="1"/>
        <i x="300" s="1"/>
        <i x="347" s="1"/>
        <i x="427" s="1"/>
        <i x="367" s="1"/>
        <i x="12" s="1"/>
        <i x="271" s="1"/>
        <i x="372" s="1"/>
        <i x="459" s="1"/>
        <i x="112" s="1"/>
        <i x="401" s="1"/>
        <i x="113" s="1"/>
        <i x="462" s="1"/>
        <i x="5" s="1"/>
        <i x="236" s="1"/>
        <i x="356" s="1"/>
        <i x="414" s="1"/>
        <i x="184" s="1"/>
        <i x="448" s="1"/>
        <i x="310" s="1"/>
        <i x="243" s="1"/>
        <i x="304" s="1"/>
        <i x="201" s="1"/>
        <i x="299" s="1"/>
        <i x="364" s="1"/>
        <i x="466" s="1"/>
        <i x="366" s="1"/>
        <i x="158" s="1"/>
        <i x="213" s="1"/>
        <i x="435" s="1"/>
        <i x="45" s="1"/>
        <i x="72" s="1"/>
        <i x="40" s="1"/>
        <i x="205" s="1"/>
        <i x="140" s="1"/>
        <i x="268" s="1"/>
        <i x="256" s="1"/>
        <i x="34" s="1"/>
        <i x="412" s="1"/>
        <i x="421" s="1"/>
        <i x="193" s="1"/>
        <i x="460" s="1"/>
        <i x="431" s="1"/>
        <i x="125" s="1"/>
        <i x="399" s="1"/>
        <i x="46" s="1"/>
        <i x="391" s="1"/>
        <i x="58" s="1"/>
        <i x="362" s="1"/>
        <i x="477" s="1"/>
        <i x="393" s="1"/>
        <i x="298" s="1"/>
        <i x="225" s="1"/>
        <i x="376" s="1"/>
        <i x="219" s="1"/>
        <i x="114" s="1"/>
        <i x="85" s="1"/>
        <i x="6" s="1"/>
        <i x="409" s="1"/>
        <i x="447" s="1"/>
        <i x="103" s="1"/>
        <i x="24" s="1"/>
        <i x="178" s="1"/>
        <i x="348" s="1"/>
        <i x="228" s="1"/>
        <i x="315" s="1"/>
        <i x="369" s="1"/>
        <i x="420" s="1"/>
        <i x="476" s="1"/>
        <i x="277" s="1"/>
        <i x="92" s="1"/>
        <i x="436" s="1"/>
        <i x="171" s="1"/>
        <i x="105" s="1"/>
        <i x="385" s="1"/>
        <i x="444" s="1"/>
        <i x="291" s="1"/>
        <i x="470" s="1"/>
        <i x="162" s="1"/>
        <i x="50" s="1"/>
        <i x="148" s="1"/>
        <i x="62" s="1"/>
        <i x="115" s="1"/>
        <i x="293" s="1"/>
        <i x="139" s="1"/>
        <i x="20" s="1"/>
        <i x="136" s="1"/>
        <i x="168" s="1"/>
        <i x="313" s="1"/>
        <i x="346" s="1"/>
        <i x="339" s="1"/>
        <i x="4" s="1"/>
        <i x="437" s="1"/>
        <i x="143" s="1"/>
        <i x="17" s="1"/>
        <i x="457" s="1"/>
        <i x="345" s="1"/>
        <i x="106" s="1"/>
        <i x="374" s="1"/>
        <i x="185" s="1"/>
        <i x="332" s="1"/>
        <i x="251" s="1"/>
        <i x="270" s="1"/>
        <i x="217" s="1"/>
        <i x="138" s="1"/>
        <i x="282" s="1"/>
        <i x="66" s="1"/>
        <i x="73" s="1"/>
        <i x="104" s="1"/>
        <i x="170" s="1"/>
        <i x="250" s="1"/>
        <i x="405" s="1"/>
        <i x="13" s="1"/>
        <i x="116" s="1"/>
        <i x="386" s="1"/>
        <i x="80" s="1"/>
        <i x="133" s="1"/>
        <i x="77" s="1"/>
        <i x="387" s="1"/>
        <i x="350" s="1"/>
        <i x="359" s="1"/>
        <i x="461" s="1"/>
        <i x="360" s="1"/>
        <i x="253" s="1"/>
        <i x="438" s="1"/>
        <i x="189" s="1"/>
        <i x="152" s="1"/>
        <i x="107" s="1"/>
        <i x="467" s="1"/>
        <i x="344" s="1"/>
        <i x="394" s="1"/>
        <i x="202" s="1"/>
        <i x="164" s="1"/>
        <i x="146" s="1"/>
        <i x="211" s="1"/>
        <i x="429" s="1"/>
        <i x="2" s="1"/>
        <i x="454" s="1"/>
        <i x="186" s="1"/>
        <i x="361" s="1"/>
        <i x="479" s="1"/>
        <i x="207" s="1"/>
        <i x="355" s="1"/>
        <i x="197" s="1"/>
        <i x="26" s="1"/>
        <i x="428" s="1"/>
        <i x="341" s="1"/>
        <i x="482" s="1"/>
        <i x="181" s="1"/>
        <i x="319" s="1"/>
        <i x="418" s="1"/>
        <i x="450" s="1"/>
        <i x="262" s="1"/>
        <i x="289" s="1"/>
        <i x="336" s="1"/>
        <i x="306" s="1"/>
        <i x="14" s="1"/>
        <i x="65" s="1"/>
        <i x="51" s="1"/>
        <i x="261" s="1"/>
        <i x="55" s="1"/>
        <i x="442" s="1"/>
        <i x="240" s="1"/>
        <i x="260" s="1"/>
        <i x="174" s="1"/>
        <i x="480" s="1"/>
        <i x="307" s="1"/>
        <i x="180" s="1"/>
        <i x="388" s="1"/>
        <i x="402" s="1"/>
        <i x="416" s="1"/>
        <i x="434" s="1"/>
        <i x="224" s="1"/>
        <i x="458" s="1"/>
        <i x="317" s="1"/>
        <i x="410" s="1"/>
        <i x="255" s="1"/>
        <i x="3" s="1"/>
        <i x="389" s="1"/>
        <i x="157" s="1"/>
        <i x="44" s="1"/>
        <i x="21" s="1"/>
        <i x="117" s="1"/>
        <i x="37" s="1"/>
        <i x="338" s="1"/>
        <i x="169" s="1"/>
        <i x="89" s="1"/>
        <i x="244" s="1"/>
        <i x="22" s="1"/>
        <i x="147" s="1"/>
        <i x="403" s="1"/>
        <i x="274" s="1"/>
        <i x="35" s="1"/>
        <i x="351" s="1"/>
        <i x="54" s="1"/>
        <i x="292" s="1"/>
        <i x="280" s="1"/>
        <i x="74" s="1"/>
        <i x="28" s="1"/>
        <i x="275" s="1"/>
        <i x="110" s="1"/>
        <i x="165" s="1"/>
        <i x="99" s="1"/>
        <i x="303" s="1"/>
        <i x="287" s="1"/>
        <i x="264" s="1"/>
        <i x="320" s="1"/>
        <i x="281" s="1"/>
        <i x="327" s="1"/>
        <i x="232" s="1"/>
        <i x="445" s="1"/>
        <i x="86" s="1"/>
        <i x="59" s="1"/>
        <i x="10" s="1"/>
        <i x="222" s="1"/>
        <i x="329" s="1"/>
        <i x="53" s="1"/>
        <i x="465" s="1"/>
        <i x="183" s="1"/>
        <i x="71" s="1"/>
        <i x="354" s="1"/>
        <i x="79" s="1"/>
        <i x="142" s="1"/>
        <i x="198" s="1"/>
        <i x="395" s="1"/>
        <i x="163" s="1"/>
        <i x="266" s="1"/>
        <i x="267" s="1"/>
        <i x="322" s="1"/>
        <i x="200" s="1"/>
        <i x="230" s="1"/>
        <i x="379" s="1"/>
        <i x="305" s="1"/>
        <i x="284" s="1"/>
        <i x="76" s="1"/>
        <i x="38" s="1"/>
        <i x="263" s="1"/>
        <i x="90" s="1"/>
        <i x="475" s="1"/>
        <i x="333" s="1"/>
        <i x="258" s="1"/>
        <i x="390" s="1"/>
        <i x="371" s="1"/>
        <i x="472" s="1"/>
        <i x="9" s="1"/>
        <i x="400" s="1"/>
        <i x="36" s="1"/>
        <i x="227" s="1"/>
        <i x="88" s="1"/>
        <i x="60" s="1"/>
        <i x="474" s="1"/>
        <i x="108" s="1"/>
        <i x="349" s="1"/>
        <i x="486" s="1"/>
        <i x="127" s="1"/>
        <i x="42" s="1"/>
        <i x="61" s="1"/>
        <i x="102" s="1"/>
        <i x="161" s="1"/>
        <i x="57" s="1"/>
        <i x="95" s="1"/>
        <i x="29" s="1"/>
        <i x="83" s="1"/>
        <i x="109" s="1"/>
        <i x="56" s="1"/>
        <i x="273" s="1"/>
        <i x="285" s="1"/>
        <i x="432" s="1"/>
        <i x="97" s="1"/>
        <i x="75" s="1"/>
        <i x="0" s="1"/>
        <i x="440" s="1"/>
        <i x="231" s="1"/>
        <i x="456" s="1"/>
        <i x="70" s="1"/>
        <i x="111" s="1"/>
        <i x="308" s="1"/>
        <i x="425" s="1"/>
        <i x="87" s="1"/>
        <i x="419" s="1"/>
        <i x="249" s="1"/>
        <i x="365" s="1"/>
        <i x="430" s="1"/>
        <i x="439" s="1"/>
        <i x="166" s="1"/>
        <i x="398" s="1"/>
        <i x="150" s="1"/>
        <i x="199" s="1"/>
        <i x="279" s="1"/>
        <i x="120" s="1"/>
        <i x="208" s="1"/>
        <i x="128" s="1"/>
        <i x="272" s="1"/>
        <i x="121" s="1"/>
        <i x="52" s="1"/>
        <i x="238" s="1"/>
        <i x="159" s="1"/>
        <i x="43" s="1"/>
        <i x="41" s="1"/>
        <i x="321" s="1"/>
        <i x="8" s="1"/>
        <i x="216" s="1"/>
        <i x="129" s="1"/>
        <i x="248" s="1"/>
        <i x="196" s="1"/>
        <i x="451" s="1"/>
        <i x="453" s="1"/>
        <i x="194" s="1"/>
        <i x="392" s="1"/>
        <i x="155" s="1"/>
        <i x="33" s="1"/>
        <i x="67" s="1"/>
        <i x="441" s="1"/>
        <i x="239" s="1"/>
        <i x="214" s="1"/>
        <i x="335" s="1"/>
        <i x="235" s="1"/>
        <i x="221" s="1"/>
        <i x="309" s="1"/>
        <i x="132" s="1"/>
        <i x="229" s="1"/>
        <i x="301" s="1"/>
        <i x="242" s="1"/>
        <i x="1" s="1"/>
        <i x="160" s="1"/>
        <i x="27" s="1"/>
        <i x="81" s="1"/>
        <i x="69" s="1"/>
        <i x="484" s="1"/>
        <i x="397" s="1"/>
        <i x="471" s="1"/>
        <i x="215" s="1"/>
        <i x="63" s="1"/>
        <i x="297" s="1"/>
        <i x="167" s="1"/>
        <i x="100" s="1"/>
        <i x="175" s="1"/>
        <i x="209" s="1"/>
        <i x="283" s="1"/>
        <i x="331" s="1"/>
        <i x="144" s="1"/>
        <i x="481" s="1"/>
        <i x="145" s="1"/>
        <i x="413" s="1"/>
        <i x="192" s="1"/>
        <i x="154" s="1"/>
        <i x="380" s="1"/>
        <i x="417" s="1"/>
        <i x="254" s="1"/>
        <i x="326" s="1"/>
        <i x="153" s="1"/>
        <i x="15" s="1"/>
        <i x="363" s="1"/>
        <i x="172" s="1"/>
        <i x="276" s="1"/>
        <i x="68" s="1"/>
        <i x="396" s="1"/>
        <i x="7" s="1"/>
        <i x="122" s="1"/>
        <i x="25" s="1"/>
        <i x="446" s="1"/>
        <i x="203" s="1"/>
        <i x="318" s="1"/>
        <i x="487" s="1"/>
        <i x="426" s="1"/>
        <i x="187" s="1"/>
        <i x="98" s="1"/>
        <i x="118" s="1"/>
        <i x="210" s="1"/>
        <i x="433" s="1"/>
        <i x="340" s="1"/>
        <i x="383" s="1"/>
        <i x="278" s="1"/>
        <i x="370" s="1"/>
        <i x="443" s="1"/>
        <i x="342" s="1"/>
        <i x="233" s="1"/>
        <i x="234" s="1"/>
        <i x="19" s="1"/>
        <i x="30" s="1"/>
        <i x="226" s="1"/>
        <i x="237" s="1"/>
        <i x="296" s="1"/>
        <i x="177" s="1"/>
        <i x="223" s="1"/>
        <i x="377" s="1"/>
        <i x="191" s="1"/>
        <i x="212" s="1"/>
        <i x="190" s="1"/>
        <i x="141" s="1"/>
        <i x="375" s="1"/>
        <i x="204" s="1"/>
        <i x="323" s="1"/>
        <i x="94" s="1"/>
        <i x="324" s="1"/>
        <i x="31" s="1"/>
        <i x="218" s="1"/>
        <i x="18" s="1"/>
        <i x="188" s="1"/>
        <i x="352" s="1"/>
        <i x="241" s="1"/>
        <i x="485" s="1"/>
        <i x="134" s="1"/>
        <i x="265" s="1"/>
        <i x="449" s="1"/>
        <i x="473" s="1"/>
        <i x="126" s="1"/>
        <i x="245" s="1"/>
        <i x="424" s="1"/>
        <i x="384" s="1"/>
        <i x="96" s="1"/>
        <i x="91" s="1"/>
        <i x="176" s="1"/>
        <i x="137" s="1"/>
        <i x="353" s="1"/>
        <i x="48" s="1"/>
        <i x="382" s="1"/>
        <i x="173" s="1"/>
        <i x="368" s="1"/>
        <i x="463" s="1"/>
        <i x="101" s="1"/>
        <i x="295" s="1"/>
        <i x="478" s="1"/>
        <i x="423" s="1"/>
        <i x="288" s="1"/>
        <i x="11" s="1"/>
        <i x="468" s="1"/>
        <i x="302" s="1"/>
        <i x="130" s="1"/>
        <i x="123" s="1"/>
        <i x="151" s="1"/>
        <i x="381" s="1"/>
        <i x="422" s="1"/>
        <i x="84" s="1"/>
        <i x="252" s="1"/>
        <i x="195" s="1"/>
        <i x="411" s="1"/>
        <i x="47" s="1"/>
        <i x="483" s="1"/>
        <i x="206" s="1"/>
        <i x="357" s="1"/>
        <i x="407" s="1"/>
        <i x="373" s="1"/>
        <i x="406" s="1"/>
        <i x="179" s="1"/>
        <i x="247" s="1"/>
        <i x="156" s="1"/>
        <i x="469" s="1"/>
        <i x="259" s="1"/>
        <i x="149" s="1"/>
        <i x="23" s="1"/>
        <i x="415" s="1"/>
        <i x="269" s="1"/>
        <i x="330" s="1"/>
        <i x="328" s="1"/>
        <i x="49" s="1"/>
        <i x="334" s="1"/>
        <i x="16" s="1"/>
        <i x="312" s="1"/>
        <i x="286" s="1"/>
        <i x="39" s="1"/>
        <i x="1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ation modes 1" xr10:uid="{A0B64BA0-209D-4501-8E73-6F2CC702587D}" cache="Slicer_Transportation_modes" caption="Transportation modes" rowHeight="241300"/>
  <slicer name="Profitability 1" xr10:uid="{258125C1-3B73-45D7-B5B4-41175D65CF0B}" cache="Slicer_Profitability" caption="Profitability" rowHeight="241300"/>
  <slicer name="Manufacturing lead time" xr10:uid="{026E60B6-1534-4AF1-A7E2-35FE7CF17EDC}" cache="Slicer_Manufacturing_lead_time" caption="Manufacturing lead time" startItem="16" rowHeight="241300"/>
  <slicer name="Shipping costs" xr10:uid="{6DF3CB7C-BCBC-4B89-A92A-B007B90D5E31}" cache="Slicer_Shipping_costs" caption="Shipping cost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2D8C74-2212-4359-8311-3C8AD2039607}" name="Table1" displayName="Table1" ref="A1:W490" totalsRowCount="1" headerRowDxfId="53" dataDxfId="52">
  <autoFilter ref="A1:W489" xr:uid="{00000000-0009-0000-0000-000000000000}"/>
  <tableColumns count="23">
    <tableColumn id="1" xr3:uid="{70FA143A-06C9-446B-AAB8-C962FE39BB55}" name="Product type" dataDxfId="51" totalsRowDxfId="50"/>
    <tableColumn id="2" xr3:uid="{690EB41B-6F86-4ECF-B012-59AB244425F2}" name="SKU" dataDxfId="49" totalsRowDxfId="48"/>
    <tableColumn id="3" xr3:uid="{2908ABE8-8107-4A60-8FE4-BFFA47A8D5E3}" name="Price" dataDxfId="47" totalsRowDxfId="46"/>
    <tableColumn id="4" xr3:uid="{6A70779B-FC1E-4EF1-8BE1-100D7548AE09}" name="Availability" dataDxfId="45" totalsRowDxfId="44"/>
    <tableColumn id="5" xr3:uid="{B3EB079E-0719-4CE7-BA97-4B6D2AB3D5BD}" name="Number of products sold" dataDxfId="43" totalsRowDxfId="42"/>
    <tableColumn id="6" xr3:uid="{73B5E008-31C6-4841-B1DE-CA1E8FB87FCA}" name="Lead times" dataDxfId="41" totalsRowDxfId="40"/>
    <tableColumn id="7" xr3:uid="{04514D99-1689-4756-8B9B-7455D020D49C}" name="Order quantities" dataDxfId="39" totalsRowDxfId="38"/>
    <tableColumn id="23" xr3:uid="{7528CC25-9CEC-4CEF-BD21-4678DBE33CAD}" name="Column1" dataDxfId="37" totalsRowDxfId="36">
      <calculatedColumnFormula>IF(Table1[[#This Row],[Order quantities]]&gt;Table1[[#This Row],[Availability]], "High Risk", "Low Risk")</calculatedColumnFormula>
    </tableColumn>
    <tableColumn id="8" xr3:uid="{343E4B47-2396-40EE-A5EF-D8D8C113F477}" name="Shipping times" dataDxfId="35" totalsRowDxfId="34"/>
    <tableColumn id="9" xr3:uid="{672243A1-57A5-4D18-9C03-8C7B3BE3E569}" name="Shipping carriers" dataDxfId="33" totalsRowDxfId="32"/>
    <tableColumn id="10" xr3:uid="{ED4E2C77-A3B9-4586-B169-10B8ED6A9D52}" name="Shipping costs" dataDxfId="31" totalsRowDxfId="30"/>
    <tableColumn id="11" xr3:uid="{C275F8C2-E85A-49BF-90C5-13DB643AD242}" name="Supplier name" dataDxfId="29" totalsRowDxfId="28"/>
    <tableColumn id="12" xr3:uid="{263AC38E-425C-4391-BB0B-622D3F2790AE}" name="Location" dataDxfId="27" totalsRowDxfId="26"/>
    <tableColumn id="13" xr3:uid="{6D14EC64-341C-4CE9-8B1D-5B6994CC1B6E}" name="Supplier Lead time" dataDxfId="25" totalsRowDxfId="24"/>
    <tableColumn id="14" xr3:uid="{5B4F44A6-3866-4736-9FD4-19B8B3A0ADE5}" name="Production volumes" dataDxfId="23" totalsRowDxfId="22"/>
    <tableColumn id="15" xr3:uid="{CB5D3AD4-31CB-4FFD-83EF-91FCF4530EC3}" name="Manufacturing lead time" dataDxfId="21" totalsRowDxfId="20"/>
    <tableColumn id="16" xr3:uid="{11CB93C1-98CA-46D4-AA6C-66D63CB3BDA0}" name="Manufacturing costs" dataDxfId="19" totalsRowDxfId="18"/>
    <tableColumn id="17" xr3:uid="{A86529EC-F893-473B-91EB-6035B6A52D56}" name="Inspection results" dataDxfId="17" totalsRowDxfId="16"/>
    <tableColumn id="18" xr3:uid="{72C73269-4F1C-4698-A479-AE016FF4983A}" name="Defect rates" dataDxfId="15" totalsRowDxfId="14"/>
    <tableColumn id="19" xr3:uid="{10BF253D-5B3C-4ABC-A78F-EF837AA9C9A5}" name="Transportation modes" dataDxfId="13" totalsRowDxfId="12"/>
    <tableColumn id="20" xr3:uid="{C6EDAABB-49D4-4182-8514-2CF965E88AE9}" name="Routes" dataDxfId="11" totalsRowDxfId="10"/>
    <tableColumn id="21" xr3:uid="{8B51ED54-7181-4137-9945-BD270ECF58D3}" name="Revenue" dataDxfId="9" totalsRowDxfId="8"/>
    <tableColumn id="24" xr3:uid="{F101FE55-A29D-49BC-836D-E71EB31BAAAF}" name="Profitability" dataDxfId="7" totalsRowDxfId="6">
      <calculatedColumnFormula>Table1[[#This Row],[Revenue]]-Table1[[#This Row],[Shipping costs]]-Table1[[#This Row],[Manufacturing costs]]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workbookViewId="0"/>
  </sheetViews>
  <sheetFormatPr defaultColWidth="14.42578125" defaultRowHeight="15" customHeight="1" x14ac:dyDescent="0.25"/>
  <cols>
    <col min="1" max="1" width="14.5703125" bestFit="1" customWidth="1"/>
    <col min="2" max="2" width="7.42578125" bestFit="1" customWidth="1"/>
    <col min="3" max="3" width="7.7109375" bestFit="1" customWidth="1"/>
    <col min="4" max="4" width="13.28515625" bestFit="1" customWidth="1"/>
    <col min="5" max="5" width="25.5703125" bestFit="1" customWidth="1"/>
    <col min="6" max="6" width="17.7109375" customWidth="1"/>
    <col min="7" max="7" width="16.5703125" bestFit="1" customWidth="1"/>
    <col min="8" max="8" width="16.5703125" customWidth="1"/>
    <col min="9" max="9" width="18.140625" bestFit="1" customWidth="1"/>
    <col min="10" max="10" width="16" bestFit="1" customWidth="1"/>
    <col min="11" max="11" width="16" customWidth="1"/>
    <col min="12" max="12" width="10.7109375" customWidth="1"/>
    <col min="13" max="13" width="19.7109375" customWidth="1"/>
    <col min="14" max="14" width="20.85546875" customWidth="1"/>
    <col min="15" max="15" width="25" customWidth="1"/>
    <col min="16" max="16" width="21" customWidth="1"/>
    <col min="17" max="17" width="18.85546875" customWidth="1"/>
    <col min="18" max="18" width="13.85546875" customWidth="1"/>
    <col min="19" max="19" width="22.5703125" customWidth="1"/>
    <col min="20" max="20" width="9.28515625" customWidth="1"/>
    <col min="21" max="21" width="12" customWidth="1"/>
    <col min="22" max="22" width="11.140625" bestFit="1" customWidth="1"/>
    <col min="23" max="26" width="8.7109375" customWidth="1"/>
  </cols>
  <sheetData>
    <row r="1" spans="1:23" ht="14.25" customHeight="1" x14ac:dyDescent="0.25">
      <c r="A1" s="1" t="s">
        <v>0</v>
      </c>
      <c r="B1" s="1" t="s">
        <v>1</v>
      </c>
      <c r="C1" s="1" t="s">
        <v>2</v>
      </c>
      <c r="D1" s="1" t="s">
        <v>3</v>
      </c>
      <c r="E1" s="1" t="s">
        <v>4</v>
      </c>
      <c r="F1" s="1" t="s">
        <v>5</v>
      </c>
      <c r="G1" s="1" t="s">
        <v>6</v>
      </c>
      <c r="H1" s="1" t="s">
        <v>536</v>
      </c>
      <c r="I1" s="1" t="s">
        <v>7</v>
      </c>
      <c r="J1" s="1" t="s">
        <v>8</v>
      </c>
      <c r="K1" s="1" t="s">
        <v>9</v>
      </c>
      <c r="L1" s="1" t="s">
        <v>10</v>
      </c>
      <c r="M1" s="1" t="s">
        <v>11</v>
      </c>
      <c r="N1" s="1" t="s">
        <v>12</v>
      </c>
      <c r="O1" s="1" t="s">
        <v>13</v>
      </c>
      <c r="P1" s="1" t="s">
        <v>14</v>
      </c>
      <c r="Q1" s="5" t="s">
        <v>15</v>
      </c>
      <c r="R1" s="1" t="s">
        <v>16</v>
      </c>
      <c r="S1" s="1" t="s">
        <v>17</v>
      </c>
      <c r="T1" s="1" t="s">
        <v>18</v>
      </c>
      <c r="U1" s="1" t="s">
        <v>19</v>
      </c>
      <c r="V1" s="1" t="s">
        <v>20</v>
      </c>
      <c r="W1" t="s">
        <v>543</v>
      </c>
    </row>
    <row r="2" spans="1:23" ht="14.25" customHeight="1" x14ac:dyDescent="0.25">
      <c r="A2" s="1" t="s">
        <v>21</v>
      </c>
      <c r="B2" s="1" t="s">
        <v>22</v>
      </c>
      <c r="C2" s="2">
        <v>71.33</v>
      </c>
      <c r="D2" s="1">
        <v>46</v>
      </c>
      <c r="E2" s="1">
        <v>317</v>
      </c>
      <c r="F2" s="1">
        <v>9</v>
      </c>
      <c r="G2" s="1">
        <v>39</v>
      </c>
      <c r="H2" s="1" t="str">
        <f>IF(Table1[[#This Row],[Order quantities]]&gt;Table1[[#This Row],[Availability]], "High Risk", "Low Risk")</f>
        <v>Low Risk</v>
      </c>
      <c r="I2" s="1">
        <v>8</v>
      </c>
      <c r="J2" s="1" t="s">
        <v>23</v>
      </c>
      <c r="K2" s="4">
        <v>6.3942375250000003</v>
      </c>
      <c r="L2" s="1" t="s">
        <v>24</v>
      </c>
      <c r="M2" s="1" t="s">
        <v>25</v>
      </c>
      <c r="N2" s="1">
        <v>20</v>
      </c>
      <c r="O2" s="1">
        <v>389</v>
      </c>
      <c r="P2" s="1">
        <v>27</v>
      </c>
      <c r="Q2" s="4">
        <v>73.791933839999999</v>
      </c>
      <c r="R2" s="1" t="s">
        <v>26</v>
      </c>
      <c r="S2" s="3">
        <v>2.8629484559999998</v>
      </c>
      <c r="T2" s="1" t="s">
        <v>27</v>
      </c>
      <c r="U2" s="1" t="s">
        <v>28</v>
      </c>
      <c r="V2" s="4">
        <v>238.65548759999999</v>
      </c>
      <c r="W2" s="8">
        <f>Table1[[#This Row],[Revenue]]-Table1[[#This Row],[Shipping costs]]-Table1[[#This Row],[Manufacturing costs]]</f>
        <v>158.46931623500001</v>
      </c>
    </row>
    <row r="3" spans="1:23" ht="14.25" customHeight="1" x14ac:dyDescent="0.25">
      <c r="A3" s="1" t="s">
        <v>29</v>
      </c>
      <c r="B3" s="1" t="s">
        <v>30</v>
      </c>
      <c r="C3" s="2">
        <v>55.93</v>
      </c>
      <c r="D3" s="1">
        <v>11</v>
      </c>
      <c r="E3" s="1">
        <v>110</v>
      </c>
      <c r="F3" s="1">
        <v>16</v>
      </c>
      <c r="G3" s="1">
        <v>60</v>
      </c>
      <c r="H3" s="1" t="str">
        <f>IF(Table1[[#This Row],[Order quantities]]&gt;Table1[[#This Row],[Availability]], "High Risk", "Low Risk")</f>
        <v>High Risk</v>
      </c>
      <c r="I3" s="1">
        <v>6</v>
      </c>
      <c r="J3" s="1" t="s">
        <v>31</v>
      </c>
      <c r="K3" s="4">
        <v>7.557906558</v>
      </c>
      <c r="L3" s="1" t="s">
        <v>32</v>
      </c>
      <c r="M3" s="1" t="s">
        <v>33</v>
      </c>
      <c r="N3" s="1">
        <v>12</v>
      </c>
      <c r="O3" s="1">
        <v>779</v>
      </c>
      <c r="P3" s="1">
        <v>9</v>
      </c>
      <c r="Q3" s="4">
        <v>26.009181590000001</v>
      </c>
      <c r="R3" s="1" t="s">
        <v>34</v>
      </c>
      <c r="S3" s="3">
        <v>2.6305772749999998</v>
      </c>
      <c r="T3" s="1" t="s">
        <v>35</v>
      </c>
      <c r="U3" s="1" t="s">
        <v>28</v>
      </c>
      <c r="V3" s="4">
        <v>662.63148260000003</v>
      </c>
      <c r="W3" s="8">
        <f>Table1[[#This Row],[Revenue]]-Table1[[#This Row],[Shipping costs]]-Table1[[#This Row],[Manufacturing costs]]</f>
        <v>629.06439445199999</v>
      </c>
    </row>
    <row r="4" spans="1:23" ht="14.25" customHeight="1" x14ac:dyDescent="0.25">
      <c r="A4" s="1" t="s">
        <v>29</v>
      </c>
      <c r="B4" s="1" t="s">
        <v>36</v>
      </c>
      <c r="C4" s="2">
        <v>34.409999999999997</v>
      </c>
      <c r="D4" s="1">
        <v>61</v>
      </c>
      <c r="E4" s="1">
        <v>250</v>
      </c>
      <c r="F4" s="1">
        <v>19</v>
      </c>
      <c r="G4" s="1">
        <v>28</v>
      </c>
      <c r="H4" s="1" t="str">
        <f>IF(Table1[[#This Row],[Order quantities]]&gt;Table1[[#This Row],[Availability]], "High Risk", "Low Risk")</f>
        <v>Low Risk</v>
      </c>
      <c r="I4" s="1">
        <v>6</v>
      </c>
      <c r="J4" s="1" t="s">
        <v>37</v>
      </c>
      <c r="K4" s="4">
        <v>3.8382736890000002</v>
      </c>
      <c r="L4" s="1" t="s">
        <v>38</v>
      </c>
      <c r="M4" s="1" t="s">
        <v>33</v>
      </c>
      <c r="N4" s="1">
        <v>5</v>
      </c>
      <c r="O4" s="1">
        <v>146</v>
      </c>
      <c r="P4" s="1">
        <v>30</v>
      </c>
      <c r="Q4" s="4">
        <v>89.967995970000004</v>
      </c>
      <c r="R4" s="1" t="s">
        <v>26</v>
      </c>
      <c r="S4" s="3">
        <v>3.662191806</v>
      </c>
      <c r="T4" s="1" t="s">
        <v>27</v>
      </c>
      <c r="U4" s="1" t="s">
        <v>39</v>
      </c>
      <c r="V4" s="4">
        <v>404.77894429999998</v>
      </c>
      <c r="W4" s="8">
        <f>Table1[[#This Row],[Revenue]]-Table1[[#This Row],[Shipping costs]]-Table1[[#This Row],[Manufacturing costs]]</f>
        <v>310.97267464099997</v>
      </c>
    </row>
    <row r="5" spans="1:23" ht="14.25" customHeight="1" x14ac:dyDescent="0.25">
      <c r="A5" s="1" t="s">
        <v>29</v>
      </c>
      <c r="B5" s="1" t="s">
        <v>40</v>
      </c>
      <c r="C5" s="2">
        <v>82.31</v>
      </c>
      <c r="D5" s="1">
        <v>79</v>
      </c>
      <c r="E5" s="1">
        <v>382</v>
      </c>
      <c r="F5" s="1">
        <v>16</v>
      </c>
      <c r="G5" s="1">
        <v>97</v>
      </c>
      <c r="H5" s="1" t="str">
        <f>IF(Table1[[#This Row],[Order quantities]]&gt;Table1[[#This Row],[Availability]], "High Risk", "Low Risk")</f>
        <v>High Risk</v>
      </c>
      <c r="I5" s="1">
        <v>2</v>
      </c>
      <c r="J5" s="1" t="s">
        <v>31</v>
      </c>
      <c r="K5" s="4">
        <v>4.5383241649999997</v>
      </c>
      <c r="L5" s="1" t="s">
        <v>41</v>
      </c>
      <c r="M5" s="1" t="s">
        <v>33</v>
      </c>
      <c r="N5" s="1">
        <v>3</v>
      </c>
      <c r="O5" s="1">
        <v>814</v>
      </c>
      <c r="P5" s="1">
        <v>15</v>
      </c>
      <c r="Q5" s="4">
        <v>49.771706049999999</v>
      </c>
      <c r="R5" s="1" t="s">
        <v>34</v>
      </c>
      <c r="S5" s="3">
        <v>2.9411877679999998</v>
      </c>
      <c r="T5" s="1" t="s">
        <v>27</v>
      </c>
      <c r="U5" s="1" t="s">
        <v>28</v>
      </c>
      <c r="V5" s="4">
        <v>213.83223100000001</v>
      </c>
      <c r="W5" s="8">
        <f>Table1[[#This Row],[Revenue]]-Table1[[#This Row],[Shipping costs]]-Table1[[#This Row],[Manufacturing costs]]</f>
        <v>159.522200785</v>
      </c>
    </row>
    <row r="6" spans="1:23" ht="14.25" customHeight="1" x14ac:dyDescent="0.25">
      <c r="A6" s="1" t="s">
        <v>21</v>
      </c>
      <c r="B6" s="1" t="s">
        <v>42</v>
      </c>
      <c r="C6" s="2">
        <v>70.05</v>
      </c>
      <c r="D6" s="1">
        <v>87</v>
      </c>
      <c r="E6" s="1">
        <v>6</v>
      </c>
      <c r="F6" s="1">
        <v>7</v>
      </c>
      <c r="G6" s="1">
        <v>54</v>
      </c>
      <c r="H6" s="1" t="str">
        <f>IF(Table1[[#This Row],[Order quantities]]&gt;Table1[[#This Row],[Availability]], "High Risk", "Low Risk")</f>
        <v>Low Risk</v>
      </c>
      <c r="I6" s="1">
        <v>1</v>
      </c>
      <c r="J6" s="1" t="s">
        <v>43</v>
      </c>
      <c r="K6" s="4">
        <v>3.1323159450000002</v>
      </c>
      <c r="L6" s="1" t="s">
        <v>44</v>
      </c>
      <c r="M6" s="1" t="s">
        <v>25</v>
      </c>
      <c r="N6" s="1">
        <v>11</v>
      </c>
      <c r="O6" s="1">
        <v>313</v>
      </c>
      <c r="P6" s="1">
        <v>2</v>
      </c>
      <c r="Q6" s="4">
        <v>22.856131680000001</v>
      </c>
      <c r="R6" s="1" t="s">
        <v>34</v>
      </c>
      <c r="S6" s="3">
        <v>0.89632665899999997</v>
      </c>
      <c r="T6" s="1" t="s">
        <v>27</v>
      </c>
      <c r="U6" s="1" t="s">
        <v>39</v>
      </c>
      <c r="V6" s="4">
        <v>473.03288129999999</v>
      </c>
      <c r="W6" s="8">
        <f>Table1[[#This Row],[Revenue]]-Table1[[#This Row],[Shipping costs]]-Table1[[#This Row],[Manufacturing costs]]</f>
        <v>447.04443367499999</v>
      </c>
    </row>
    <row r="7" spans="1:23" ht="14.25" customHeight="1" x14ac:dyDescent="0.25">
      <c r="A7" s="1" t="s">
        <v>21</v>
      </c>
      <c r="B7" s="1" t="s">
        <v>45</v>
      </c>
      <c r="C7" s="2">
        <v>20.45</v>
      </c>
      <c r="D7" s="1">
        <v>82</v>
      </c>
      <c r="E7" s="1">
        <v>458</v>
      </c>
      <c r="F7" s="1">
        <v>14</v>
      </c>
      <c r="G7" s="1">
        <v>37</v>
      </c>
      <c r="H7" s="1" t="str">
        <f>IF(Table1[[#This Row],[Order quantities]]&gt;Table1[[#This Row],[Availability]], "High Risk", "Low Risk")</f>
        <v>Low Risk</v>
      </c>
      <c r="I7" s="1">
        <v>2</v>
      </c>
      <c r="J7" s="1" t="s">
        <v>23</v>
      </c>
      <c r="K7" s="4">
        <v>1.872691039</v>
      </c>
      <c r="L7" s="1" t="s">
        <v>41</v>
      </c>
      <c r="M7" s="1" t="s">
        <v>46</v>
      </c>
      <c r="N7" s="1">
        <v>25</v>
      </c>
      <c r="O7" s="1">
        <v>857</v>
      </c>
      <c r="P7" s="1">
        <v>4</v>
      </c>
      <c r="Q7" s="4">
        <v>78.782643829999998</v>
      </c>
      <c r="R7" s="1" t="s">
        <v>34</v>
      </c>
      <c r="S7" s="3">
        <v>3.4035683520000002</v>
      </c>
      <c r="T7" s="1" t="s">
        <v>47</v>
      </c>
      <c r="U7" s="1" t="s">
        <v>39</v>
      </c>
      <c r="V7" s="4">
        <v>113.327975</v>
      </c>
      <c r="W7" s="8">
        <f>Table1[[#This Row],[Revenue]]-Table1[[#This Row],[Shipping costs]]-Table1[[#This Row],[Manufacturing costs]]</f>
        <v>32.672640130999994</v>
      </c>
    </row>
    <row r="8" spans="1:23" ht="14.25" customHeight="1" x14ac:dyDescent="0.25">
      <c r="A8" s="1" t="s">
        <v>21</v>
      </c>
      <c r="B8" s="1" t="s">
        <v>48</v>
      </c>
      <c r="C8" s="2">
        <v>91.54</v>
      </c>
      <c r="D8" s="1">
        <v>7</v>
      </c>
      <c r="E8" s="1">
        <v>83</v>
      </c>
      <c r="F8" s="1">
        <v>28</v>
      </c>
      <c r="G8" s="1">
        <v>9</v>
      </c>
      <c r="H8" s="1" t="str">
        <f>IF(Table1[[#This Row],[Order quantities]]&gt;Table1[[#This Row],[Availability]], "High Risk", "Low Risk")</f>
        <v>High Risk</v>
      </c>
      <c r="I8" s="1">
        <v>4</v>
      </c>
      <c r="J8" s="1" t="s">
        <v>23</v>
      </c>
      <c r="K8" s="4">
        <v>2.6112847370000001</v>
      </c>
      <c r="L8" s="1" t="s">
        <v>24</v>
      </c>
      <c r="M8" s="1" t="s">
        <v>49</v>
      </c>
      <c r="N8" s="1">
        <v>30</v>
      </c>
      <c r="O8" s="1">
        <v>123</v>
      </c>
      <c r="P8" s="1">
        <v>5</v>
      </c>
      <c r="Q8" s="4">
        <v>81.097705000000005</v>
      </c>
      <c r="R8" s="1" t="s">
        <v>26</v>
      </c>
      <c r="S8" s="3">
        <v>0.75399750799999998</v>
      </c>
      <c r="T8" s="1" t="s">
        <v>35</v>
      </c>
      <c r="U8" s="1" t="s">
        <v>39</v>
      </c>
      <c r="V8" s="4">
        <v>856.94048429999998</v>
      </c>
      <c r="W8" s="8">
        <f>Table1[[#This Row],[Revenue]]-Table1[[#This Row],[Shipping costs]]-Table1[[#This Row],[Manufacturing costs]]</f>
        <v>773.23149456299996</v>
      </c>
    </row>
    <row r="9" spans="1:23" ht="14.25" customHeight="1" x14ac:dyDescent="0.25">
      <c r="A9" s="1" t="s">
        <v>29</v>
      </c>
      <c r="B9" s="1" t="s">
        <v>50</v>
      </c>
      <c r="C9" s="2">
        <v>83.14</v>
      </c>
      <c r="D9" s="1">
        <v>94</v>
      </c>
      <c r="E9" s="1">
        <v>207</v>
      </c>
      <c r="F9" s="1">
        <v>14</v>
      </c>
      <c r="G9" s="1">
        <v>82</v>
      </c>
      <c r="H9" s="1" t="str">
        <f>IF(Table1[[#This Row],[Order quantities]]&gt;Table1[[#This Row],[Availability]], "High Risk", "Low Risk")</f>
        <v>Low Risk</v>
      </c>
      <c r="I9" s="1">
        <v>2</v>
      </c>
      <c r="J9" s="1" t="s">
        <v>31</v>
      </c>
      <c r="K9" s="4">
        <v>8.1776264080000001</v>
      </c>
      <c r="L9" s="1" t="s">
        <v>32</v>
      </c>
      <c r="M9" s="1" t="s">
        <v>49</v>
      </c>
      <c r="N9" s="1">
        <v>4</v>
      </c>
      <c r="O9" s="1">
        <v>420</v>
      </c>
      <c r="P9" s="1">
        <v>17</v>
      </c>
      <c r="Q9" s="4">
        <v>67.536592540000001</v>
      </c>
      <c r="R9" s="1" t="s">
        <v>51</v>
      </c>
      <c r="S9" s="3">
        <v>4.048702756</v>
      </c>
      <c r="T9" s="1" t="s">
        <v>35</v>
      </c>
      <c r="U9" s="1" t="s">
        <v>39</v>
      </c>
      <c r="V9" s="4">
        <v>562.14816519999999</v>
      </c>
      <c r="W9" s="8">
        <f>Table1[[#This Row],[Revenue]]-Table1[[#This Row],[Shipping costs]]-Table1[[#This Row],[Manufacturing costs]]</f>
        <v>486.43394625199994</v>
      </c>
    </row>
    <row r="10" spans="1:23" ht="14.25" customHeight="1" x14ac:dyDescent="0.25">
      <c r="A10" s="1" t="s">
        <v>29</v>
      </c>
      <c r="B10" s="1" t="s">
        <v>52</v>
      </c>
      <c r="C10" s="2">
        <v>95.23</v>
      </c>
      <c r="D10" s="1">
        <v>20</v>
      </c>
      <c r="E10" s="1">
        <v>899</v>
      </c>
      <c r="F10" s="1">
        <v>25</v>
      </c>
      <c r="G10" s="1">
        <v>56</v>
      </c>
      <c r="H10" s="1" t="str">
        <f>IF(Table1[[#This Row],[Order quantities]]&gt;Table1[[#This Row],[Availability]], "High Risk", "Low Risk")</f>
        <v>High Risk</v>
      </c>
      <c r="I10" s="1">
        <v>1</v>
      </c>
      <c r="J10" s="1" t="s">
        <v>23</v>
      </c>
      <c r="K10" s="4">
        <v>7.097912247</v>
      </c>
      <c r="L10" s="1" t="s">
        <v>44</v>
      </c>
      <c r="M10" s="1" t="s">
        <v>49</v>
      </c>
      <c r="N10" s="1">
        <v>5</v>
      </c>
      <c r="O10" s="1">
        <v>373</v>
      </c>
      <c r="P10" s="1">
        <v>8</v>
      </c>
      <c r="Q10" s="4">
        <v>86.811899789999998</v>
      </c>
      <c r="R10" s="1" t="s">
        <v>34</v>
      </c>
      <c r="S10" s="3">
        <v>4.949709329</v>
      </c>
      <c r="T10" s="1" t="s">
        <v>47</v>
      </c>
      <c r="U10" s="1" t="s">
        <v>53</v>
      </c>
      <c r="V10" s="4">
        <v>225.24400979999999</v>
      </c>
      <c r="W10" s="8">
        <f>Table1[[#This Row],[Revenue]]-Table1[[#This Row],[Shipping costs]]-Table1[[#This Row],[Manufacturing costs]]</f>
        <v>131.33419776299996</v>
      </c>
    </row>
    <row r="11" spans="1:23" ht="14.25" customHeight="1" x14ac:dyDescent="0.25">
      <c r="A11" s="1" t="s">
        <v>29</v>
      </c>
      <c r="B11" s="1" t="s">
        <v>54</v>
      </c>
      <c r="C11" s="2">
        <v>73.94</v>
      </c>
      <c r="D11" s="1">
        <v>80</v>
      </c>
      <c r="E11" s="1">
        <v>389</v>
      </c>
      <c r="F11" s="1">
        <v>27</v>
      </c>
      <c r="G11" s="1">
        <v>59</v>
      </c>
      <c r="H11" s="1" t="str">
        <f>IF(Table1[[#This Row],[Order quantities]]&gt;Table1[[#This Row],[Availability]], "High Risk", "Low Risk")</f>
        <v>Low Risk</v>
      </c>
      <c r="I11" s="1">
        <v>7</v>
      </c>
      <c r="J11" s="1" t="s">
        <v>31</v>
      </c>
      <c r="K11" s="4">
        <v>5.9223598839999996</v>
      </c>
      <c r="L11" s="1" t="s">
        <v>41</v>
      </c>
      <c r="M11" s="1" t="s">
        <v>55</v>
      </c>
      <c r="N11" s="1">
        <v>1</v>
      </c>
      <c r="O11" s="1">
        <v>655</v>
      </c>
      <c r="P11" s="1">
        <v>8</v>
      </c>
      <c r="Q11" s="4">
        <v>76.36356748</v>
      </c>
      <c r="R11" s="1" t="s">
        <v>34</v>
      </c>
      <c r="S11" s="3">
        <v>1.9491993620000001</v>
      </c>
      <c r="T11" s="1" t="s">
        <v>35</v>
      </c>
      <c r="U11" s="1" t="s">
        <v>39</v>
      </c>
      <c r="V11" s="4">
        <v>313.28228660000002</v>
      </c>
      <c r="W11" s="8">
        <f>Table1[[#This Row],[Revenue]]-Table1[[#This Row],[Shipping costs]]-Table1[[#This Row],[Manufacturing costs]]</f>
        <v>230.99635923600002</v>
      </c>
    </row>
    <row r="12" spans="1:23" ht="14.25" customHeight="1" x14ac:dyDescent="0.25">
      <c r="A12" s="1" t="s">
        <v>21</v>
      </c>
      <c r="B12" s="1" t="s">
        <v>56</v>
      </c>
      <c r="C12" s="2">
        <v>63.27</v>
      </c>
      <c r="D12" s="1">
        <v>86</v>
      </c>
      <c r="E12" s="1">
        <v>313</v>
      </c>
      <c r="F12" s="1">
        <v>4</v>
      </c>
      <c r="G12" s="1">
        <v>85</v>
      </c>
      <c r="H12" s="1" t="str">
        <f>IF(Table1[[#This Row],[Order quantities]]&gt;Table1[[#This Row],[Availability]], "High Risk", "Low Risk")</f>
        <v>Low Risk</v>
      </c>
      <c r="I12" s="1">
        <v>8</v>
      </c>
      <c r="J12" s="1" t="s">
        <v>43</v>
      </c>
      <c r="K12" s="4">
        <v>5.2758088560000003</v>
      </c>
      <c r="L12" s="1" t="s">
        <v>32</v>
      </c>
      <c r="M12" s="1" t="s">
        <v>49</v>
      </c>
      <c r="N12" s="1">
        <v>27</v>
      </c>
      <c r="O12" s="1">
        <v>943</v>
      </c>
      <c r="P12" s="1">
        <v>22</v>
      </c>
      <c r="Q12" s="4">
        <v>89.398516349999994</v>
      </c>
      <c r="R12" s="1" t="s">
        <v>26</v>
      </c>
      <c r="S12" s="3">
        <v>2.279303901</v>
      </c>
      <c r="T12" s="1" t="s">
        <v>47</v>
      </c>
      <c r="U12" s="1" t="s">
        <v>28</v>
      </c>
      <c r="V12" s="4">
        <v>503.1776729</v>
      </c>
      <c r="W12" s="8">
        <f>Table1[[#This Row],[Revenue]]-Table1[[#This Row],[Shipping costs]]-Table1[[#This Row],[Manufacturing costs]]</f>
        <v>408.50334769400001</v>
      </c>
    </row>
    <row r="13" spans="1:23" ht="14.25" customHeight="1" x14ac:dyDescent="0.25">
      <c r="A13" s="1" t="s">
        <v>29</v>
      </c>
      <c r="B13" s="1" t="s">
        <v>57</v>
      </c>
      <c r="C13" s="2">
        <v>44.73</v>
      </c>
      <c r="D13" s="1">
        <v>79</v>
      </c>
      <c r="E13" s="1">
        <v>21</v>
      </c>
      <c r="F13" s="1">
        <v>26</v>
      </c>
      <c r="G13" s="1">
        <v>2</v>
      </c>
      <c r="H13" s="1" t="str">
        <f>IF(Table1[[#This Row],[Order quantities]]&gt;Table1[[#This Row],[Availability]], "High Risk", "Low Risk")</f>
        <v>Low Risk</v>
      </c>
      <c r="I13" s="1">
        <v>6</v>
      </c>
      <c r="J13" s="1" t="s">
        <v>31</v>
      </c>
      <c r="K13" s="4">
        <v>9.3019085530000005</v>
      </c>
      <c r="L13" s="1" t="s">
        <v>44</v>
      </c>
      <c r="M13" s="1" t="s">
        <v>55</v>
      </c>
      <c r="N13" s="1">
        <v>28</v>
      </c>
      <c r="O13" s="1">
        <v>412</v>
      </c>
      <c r="P13" s="1">
        <v>12</v>
      </c>
      <c r="Q13" s="4">
        <v>49.049924359999999</v>
      </c>
      <c r="R13" s="1" t="s">
        <v>51</v>
      </c>
      <c r="S13" s="3">
        <v>0.327524912</v>
      </c>
      <c r="T13" s="1" t="s">
        <v>35</v>
      </c>
      <c r="U13" s="1" t="s">
        <v>53</v>
      </c>
      <c r="V13" s="4">
        <v>269.98244449999999</v>
      </c>
      <c r="W13" s="8">
        <f>Table1[[#This Row],[Revenue]]-Table1[[#This Row],[Shipping costs]]-Table1[[#This Row],[Manufacturing costs]]</f>
        <v>211.630611587</v>
      </c>
    </row>
    <row r="14" spans="1:23" ht="14.25" customHeight="1" x14ac:dyDescent="0.25">
      <c r="A14" s="1" t="s">
        <v>29</v>
      </c>
      <c r="B14" s="1" t="s">
        <v>58</v>
      </c>
      <c r="C14" s="2">
        <v>93.61</v>
      </c>
      <c r="D14" s="1">
        <v>69</v>
      </c>
      <c r="E14" s="1">
        <v>409</v>
      </c>
      <c r="F14" s="1">
        <v>15</v>
      </c>
      <c r="G14" s="1">
        <v>61</v>
      </c>
      <c r="H14" s="1" t="str">
        <f>IF(Table1[[#This Row],[Order quantities]]&gt;Table1[[#This Row],[Availability]], "High Risk", "Low Risk")</f>
        <v>Low Risk</v>
      </c>
      <c r="I14" s="1">
        <v>4</v>
      </c>
      <c r="J14" s="1" t="s">
        <v>31</v>
      </c>
      <c r="K14" s="4">
        <v>1.6546145299999999</v>
      </c>
      <c r="L14" s="1" t="s">
        <v>44</v>
      </c>
      <c r="M14" s="1" t="s">
        <v>49</v>
      </c>
      <c r="N14" s="1">
        <v>29</v>
      </c>
      <c r="O14" s="1">
        <v>462</v>
      </c>
      <c r="P14" s="1">
        <v>21</v>
      </c>
      <c r="Q14" s="4">
        <v>77.28374153</v>
      </c>
      <c r="R14" s="1" t="s">
        <v>51</v>
      </c>
      <c r="S14" s="3">
        <v>0.167292622</v>
      </c>
      <c r="T14" s="1" t="s">
        <v>27</v>
      </c>
      <c r="U14" s="1" t="s">
        <v>28</v>
      </c>
      <c r="V14" s="4">
        <v>341.73924540000002</v>
      </c>
      <c r="W14" s="8">
        <f>Table1[[#This Row],[Revenue]]-Table1[[#This Row],[Shipping costs]]-Table1[[#This Row],[Manufacturing costs]]</f>
        <v>262.80088934000003</v>
      </c>
    </row>
    <row r="15" spans="1:23" ht="14.25" customHeight="1" x14ac:dyDescent="0.25">
      <c r="A15" s="1" t="s">
        <v>21</v>
      </c>
      <c r="B15" s="1" t="s">
        <v>59</v>
      </c>
      <c r="C15" s="2">
        <v>87.28</v>
      </c>
      <c r="D15" s="1">
        <v>71</v>
      </c>
      <c r="E15" s="1">
        <v>894</v>
      </c>
      <c r="F15" s="1">
        <v>3</v>
      </c>
      <c r="G15" s="1">
        <v>58</v>
      </c>
      <c r="H15" s="1" t="str">
        <f>IF(Table1[[#This Row],[Order quantities]]&gt;Table1[[#This Row],[Availability]], "High Risk", "Low Risk")</f>
        <v>Low Risk</v>
      </c>
      <c r="I15" s="1">
        <v>6</v>
      </c>
      <c r="J15" s="1" t="s">
        <v>43</v>
      </c>
      <c r="K15" s="4">
        <v>3.5254073190000002</v>
      </c>
      <c r="L15" s="1" t="s">
        <v>41</v>
      </c>
      <c r="M15" s="1" t="s">
        <v>49</v>
      </c>
      <c r="N15" s="1">
        <v>18</v>
      </c>
      <c r="O15" s="1">
        <v>767</v>
      </c>
      <c r="P15" s="1">
        <v>8</v>
      </c>
      <c r="Q15" s="4">
        <v>99.977640710000003</v>
      </c>
      <c r="R15" s="1" t="s">
        <v>26</v>
      </c>
      <c r="S15" s="3">
        <v>4.614954741</v>
      </c>
      <c r="T15" s="1" t="s">
        <v>47</v>
      </c>
      <c r="U15" s="1" t="s">
        <v>53</v>
      </c>
      <c r="V15" s="4">
        <v>580.94700780000005</v>
      </c>
      <c r="W15" s="8">
        <f>Table1[[#This Row],[Revenue]]-Table1[[#This Row],[Shipping costs]]-Table1[[#This Row],[Manufacturing costs]]</f>
        <v>477.44395977100004</v>
      </c>
    </row>
    <row r="16" spans="1:23" ht="14.25" customHeight="1" x14ac:dyDescent="0.25">
      <c r="A16" s="1" t="s">
        <v>21</v>
      </c>
      <c r="B16" s="1" t="s">
        <v>60</v>
      </c>
      <c r="C16" s="2">
        <v>9.3000000000000007</v>
      </c>
      <c r="D16" s="1">
        <v>24</v>
      </c>
      <c r="E16" s="1">
        <v>514</v>
      </c>
      <c r="F16" s="1">
        <v>5</v>
      </c>
      <c r="G16" s="1">
        <v>60</v>
      </c>
      <c r="H16" s="1" t="str">
        <f>IF(Table1[[#This Row],[Order quantities]]&gt;Table1[[#This Row],[Availability]], "High Risk", "Low Risk")</f>
        <v>High Risk</v>
      </c>
      <c r="I16" s="1">
        <v>3</v>
      </c>
      <c r="J16" s="1" t="s">
        <v>43</v>
      </c>
      <c r="K16" s="4">
        <v>4.1494406819999998</v>
      </c>
      <c r="L16" s="1" t="s">
        <v>32</v>
      </c>
      <c r="M16" s="1" t="s">
        <v>46</v>
      </c>
      <c r="N16" s="1">
        <v>12</v>
      </c>
      <c r="O16" s="1">
        <v>479</v>
      </c>
      <c r="P16" s="1">
        <v>19</v>
      </c>
      <c r="Q16" s="4">
        <v>75.243807779999997</v>
      </c>
      <c r="R16" s="1" t="s">
        <v>26</v>
      </c>
      <c r="S16" s="3">
        <v>0.73025789600000002</v>
      </c>
      <c r="T16" s="1" t="s">
        <v>35</v>
      </c>
      <c r="U16" s="1" t="s">
        <v>53</v>
      </c>
      <c r="V16" s="4">
        <v>849.3481117</v>
      </c>
      <c r="W16" s="8">
        <f>Table1[[#This Row],[Revenue]]-Table1[[#This Row],[Shipping costs]]-Table1[[#This Row],[Manufacturing costs]]</f>
        <v>769.95486323800003</v>
      </c>
    </row>
    <row r="17" spans="1:23" ht="14.25" customHeight="1" x14ac:dyDescent="0.25">
      <c r="A17" s="1" t="s">
        <v>21</v>
      </c>
      <c r="B17" s="1" t="s">
        <v>61</v>
      </c>
      <c r="C17" s="2">
        <v>7.5</v>
      </c>
      <c r="D17" s="1">
        <v>81</v>
      </c>
      <c r="E17" s="1">
        <v>126</v>
      </c>
      <c r="F17" s="1">
        <v>1</v>
      </c>
      <c r="G17" s="1">
        <v>40</v>
      </c>
      <c r="H17" s="1" t="str">
        <f>IF(Table1[[#This Row],[Order quantities]]&gt;Table1[[#This Row],[Availability]], "High Risk", "Low Risk")</f>
        <v>Low Risk</v>
      </c>
      <c r="I17" s="1">
        <v>8</v>
      </c>
      <c r="J17" s="1" t="s">
        <v>31</v>
      </c>
      <c r="K17" s="4">
        <v>8.0418323100000002</v>
      </c>
      <c r="L17" s="1" t="s">
        <v>44</v>
      </c>
      <c r="M17" s="1" t="s">
        <v>62</v>
      </c>
      <c r="N17" s="1">
        <v>13</v>
      </c>
      <c r="O17" s="1">
        <v>810</v>
      </c>
      <c r="P17" s="1">
        <v>3</v>
      </c>
      <c r="Q17" s="4">
        <v>20.276540220000001</v>
      </c>
      <c r="R17" s="1" t="s">
        <v>51</v>
      </c>
      <c r="S17" s="3">
        <v>2.2843158629999998</v>
      </c>
      <c r="T17" s="1" t="s">
        <v>35</v>
      </c>
      <c r="U17" s="1" t="s">
        <v>53</v>
      </c>
      <c r="V17" s="4">
        <v>461.6557171</v>
      </c>
      <c r="W17" s="8">
        <f>Table1[[#This Row],[Revenue]]-Table1[[#This Row],[Shipping costs]]-Table1[[#This Row],[Manufacturing costs]]</f>
        <v>433.33734456999997</v>
      </c>
    </row>
    <row r="18" spans="1:23" ht="14.25" customHeight="1" x14ac:dyDescent="0.25">
      <c r="A18" s="1" t="s">
        <v>21</v>
      </c>
      <c r="B18" s="1" t="s">
        <v>63</v>
      </c>
      <c r="C18" s="2">
        <v>40.76</v>
      </c>
      <c r="D18" s="1">
        <v>88</v>
      </c>
      <c r="E18" s="1">
        <v>808</v>
      </c>
      <c r="F18" s="1">
        <v>3</v>
      </c>
      <c r="G18" s="1">
        <v>36</v>
      </c>
      <c r="H18" s="1" t="str">
        <f>IF(Table1[[#This Row],[Order quantities]]&gt;Table1[[#This Row],[Availability]], "High Risk", "Low Risk")</f>
        <v>Low Risk</v>
      </c>
      <c r="I18" s="1">
        <v>2</v>
      </c>
      <c r="J18" s="1" t="s">
        <v>31</v>
      </c>
      <c r="K18" s="4">
        <v>9.9326315810000008</v>
      </c>
      <c r="L18" s="1" t="s">
        <v>24</v>
      </c>
      <c r="M18" s="1" t="s">
        <v>55</v>
      </c>
      <c r="N18" s="1">
        <v>9</v>
      </c>
      <c r="O18" s="1">
        <v>773</v>
      </c>
      <c r="P18" s="1">
        <v>18</v>
      </c>
      <c r="Q18" s="4">
        <v>56.648685020000002</v>
      </c>
      <c r="R18" s="1" t="s">
        <v>34</v>
      </c>
      <c r="S18" s="3">
        <v>4.0952376570000002</v>
      </c>
      <c r="T18" s="1" t="s">
        <v>35</v>
      </c>
      <c r="U18" s="1" t="s">
        <v>39</v>
      </c>
      <c r="V18" s="4">
        <v>745.27774620000002</v>
      </c>
      <c r="W18" s="8">
        <f>Table1[[#This Row],[Revenue]]-Table1[[#This Row],[Shipping costs]]-Table1[[#This Row],[Manufacturing costs]]</f>
        <v>678.696429599</v>
      </c>
    </row>
    <row r="19" spans="1:23" ht="14.25" customHeight="1" x14ac:dyDescent="0.25">
      <c r="A19" s="1" t="s">
        <v>29</v>
      </c>
      <c r="B19" s="1" t="s">
        <v>64</v>
      </c>
      <c r="C19" s="2">
        <v>82</v>
      </c>
      <c r="D19" s="1">
        <v>11</v>
      </c>
      <c r="E19" s="1">
        <v>699</v>
      </c>
      <c r="F19" s="1">
        <v>15</v>
      </c>
      <c r="G19" s="1">
        <v>37</v>
      </c>
      <c r="H19" s="1" t="str">
        <f>IF(Table1[[#This Row],[Order quantities]]&gt;Table1[[#This Row],[Availability]], "High Risk", "Low Risk")</f>
        <v>High Risk</v>
      </c>
      <c r="I19" s="1">
        <v>5</v>
      </c>
      <c r="J19" s="1" t="s">
        <v>43</v>
      </c>
      <c r="K19" s="4">
        <v>3.1660346330000002</v>
      </c>
      <c r="L19" s="1" t="s">
        <v>32</v>
      </c>
      <c r="M19" s="1" t="s">
        <v>62</v>
      </c>
      <c r="N19" s="1">
        <v>2</v>
      </c>
      <c r="O19" s="1">
        <v>569</v>
      </c>
      <c r="P19" s="1">
        <v>21</v>
      </c>
      <c r="Q19" s="4">
        <v>62.861301210000001</v>
      </c>
      <c r="R19" s="1" t="s">
        <v>34</v>
      </c>
      <c r="S19" s="3">
        <v>4.4576619239999999</v>
      </c>
      <c r="T19" s="1" t="s">
        <v>27</v>
      </c>
      <c r="U19" s="1" t="s">
        <v>53</v>
      </c>
      <c r="V19" s="4">
        <v>889.0157921</v>
      </c>
      <c r="W19" s="8">
        <f>Table1[[#This Row],[Revenue]]-Table1[[#This Row],[Shipping costs]]-Table1[[#This Row],[Manufacturing costs]]</f>
        <v>822.98845625700005</v>
      </c>
    </row>
    <row r="20" spans="1:23" ht="14.25" customHeight="1" x14ac:dyDescent="0.25">
      <c r="A20" s="1" t="s">
        <v>21</v>
      </c>
      <c r="B20" s="1" t="s">
        <v>65</v>
      </c>
      <c r="C20" s="2">
        <v>98.79</v>
      </c>
      <c r="D20" s="1">
        <v>14</v>
      </c>
      <c r="E20" s="1">
        <v>873</v>
      </c>
      <c r="F20" s="1">
        <v>24</v>
      </c>
      <c r="G20" s="1">
        <v>79</v>
      </c>
      <c r="H20" s="1" t="str">
        <f>IF(Table1[[#This Row],[Order quantities]]&gt;Table1[[#This Row],[Availability]], "High Risk", "Low Risk")</f>
        <v>High Risk</v>
      </c>
      <c r="I20" s="1">
        <v>1</v>
      </c>
      <c r="J20" s="1" t="s">
        <v>23</v>
      </c>
      <c r="K20" s="4">
        <v>8.8687660069999996</v>
      </c>
      <c r="L20" s="1" t="s">
        <v>41</v>
      </c>
      <c r="M20" s="1" t="s">
        <v>33</v>
      </c>
      <c r="N20" s="1">
        <v>5</v>
      </c>
      <c r="O20" s="1">
        <v>845</v>
      </c>
      <c r="P20" s="1">
        <v>19</v>
      </c>
      <c r="Q20" s="4">
        <v>25.678960759999999</v>
      </c>
      <c r="R20" s="1" t="s">
        <v>51</v>
      </c>
      <c r="S20" s="3">
        <v>2.6450486579999999</v>
      </c>
      <c r="T20" s="1" t="s">
        <v>27</v>
      </c>
      <c r="U20" s="1" t="s">
        <v>53</v>
      </c>
      <c r="V20" s="4">
        <v>294.67084629999999</v>
      </c>
      <c r="W20" s="8">
        <f>Table1[[#This Row],[Revenue]]-Table1[[#This Row],[Shipping costs]]-Table1[[#This Row],[Manufacturing costs]]</f>
        <v>260.12311953300002</v>
      </c>
    </row>
    <row r="21" spans="1:23" ht="14.25" customHeight="1" x14ac:dyDescent="0.25">
      <c r="A21" s="1" t="s">
        <v>21</v>
      </c>
      <c r="B21" s="1" t="s">
        <v>66</v>
      </c>
      <c r="C21" s="2">
        <v>19.29</v>
      </c>
      <c r="D21" s="1">
        <v>58</v>
      </c>
      <c r="E21" s="1">
        <v>13</v>
      </c>
      <c r="F21" s="1">
        <v>27</v>
      </c>
      <c r="G21" s="1">
        <v>92</v>
      </c>
      <c r="H21" s="1" t="str">
        <f>IF(Table1[[#This Row],[Order quantities]]&gt;Table1[[#This Row],[Availability]], "High Risk", "Low Risk")</f>
        <v>High Risk</v>
      </c>
      <c r="I21" s="1">
        <v>6</v>
      </c>
      <c r="J21" s="1" t="s">
        <v>23</v>
      </c>
      <c r="K21" s="4">
        <v>8.4756048439999994</v>
      </c>
      <c r="L21" s="1" t="s">
        <v>44</v>
      </c>
      <c r="M21" s="1" t="s">
        <v>46</v>
      </c>
      <c r="N21" s="1">
        <v>13</v>
      </c>
      <c r="O21" s="1">
        <v>774</v>
      </c>
      <c r="P21" s="1">
        <v>19</v>
      </c>
      <c r="Q21" s="4">
        <v>96.660247080000005</v>
      </c>
      <c r="R21" s="1" t="s">
        <v>51</v>
      </c>
      <c r="S21" s="3">
        <v>2.8686593720000002</v>
      </c>
      <c r="T21" s="1" t="s">
        <v>35</v>
      </c>
      <c r="U21" s="1" t="s">
        <v>28</v>
      </c>
      <c r="V21" s="4">
        <v>826.47277340000005</v>
      </c>
      <c r="W21" s="8">
        <f>Table1[[#This Row],[Revenue]]-Table1[[#This Row],[Shipping costs]]-Table1[[#This Row],[Manufacturing costs]]</f>
        <v>721.33692147600004</v>
      </c>
    </row>
    <row r="22" spans="1:23" ht="14.25" customHeight="1" x14ac:dyDescent="0.25">
      <c r="A22" s="1" t="s">
        <v>29</v>
      </c>
      <c r="B22" s="1" t="s">
        <v>67</v>
      </c>
      <c r="C22" s="2">
        <v>61.44</v>
      </c>
      <c r="D22" s="1">
        <v>25</v>
      </c>
      <c r="E22" s="1">
        <v>970</v>
      </c>
      <c r="F22" s="1">
        <v>8</v>
      </c>
      <c r="G22" s="1">
        <v>18</v>
      </c>
      <c r="H22" s="1" t="str">
        <f>IF(Table1[[#This Row],[Order quantities]]&gt;Table1[[#This Row],[Availability]], "High Risk", "Low Risk")</f>
        <v>Low Risk</v>
      </c>
      <c r="I22" s="1">
        <v>2</v>
      </c>
      <c r="J22" s="1" t="s">
        <v>31</v>
      </c>
      <c r="K22" s="4">
        <v>3.021916579</v>
      </c>
      <c r="L22" s="1" t="s">
        <v>32</v>
      </c>
      <c r="M22" s="1" t="s">
        <v>55</v>
      </c>
      <c r="N22" s="1">
        <v>16</v>
      </c>
      <c r="O22" s="1">
        <v>215</v>
      </c>
      <c r="P22" s="1">
        <v>15</v>
      </c>
      <c r="Q22" s="4">
        <v>25.802179989999999</v>
      </c>
      <c r="R22" s="1" t="s">
        <v>26</v>
      </c>
      <c r="S22" s="3">
        <v>3.381451465</v>
      </c>
      <c r="T22" s="1" t="s">
        <v>27</v>
      </c>
      <c r="U22" s="1" t="s">
        <v>39</v>
      </c>
      <c r="V22" s="4">
        <v>781.66197850000003</v>
      </c>
      <c r="W22" s="8">
        <f>Table1[[#This Row],[Revenue]]-Table1[[#This Row],[Shipping costs]]-Table1[[#This Row],[Manufacturing costs]]</f>
        <v>752.83788193099997</v>
      </c>
    </row>
    <row r="23" spans="1:23" ht="14.25" customHeight="1" x14ac:dyDescent="0.25">
      <c r="A23" s="1" t="s">
        <v>21</v>
      </c>
      <c r="B23" s="1" t="s">
        <v>68</v>
      </c>
      <c r="C23" s="2">
        <v>41.18</v>
      </c>
      <c r="D23" s="1">
        <v>25</v>
      </c>
      <c r="E23" s="1">
        <v>977</v>
      </c>
      <c r="F23" s="1">
        <v>29</v>
      </c>
      <c r="G23" s="1">
        <v>98</v>
      </c>
      <c r="H23" s="1" t="str">
        <f>IF(Table1[[#This Row],[Order quantities]]&gt;Table1[[#This Row],[Availability]], "High Risk", "Low Risk")</f>
        <v>High Risk</v>
      </c>
      <c r="I23" s="1">
        <v>4</v>
      </c>
      <c r="J23" s="1" t="s">
        <v>43</v>
      </c>
      <c r="K23" s="4">
        <v>4.5939932219999999</v>
      </c>
      <c r="L23" s="1" t="s">
        <v>41</v>
      </c>
      <c r="M23" s="1" t="s">
        <v>62</v>
      </c>
      <c r="N23" s="1">
        <v>16</v>
      </c>
      <c r="O23" s="1">
        <v>704</v>
      </c>
      <c r="P23" s="1">
        <v>6</v>
      </c>
      <c r="Q23" s="4">
        <v>25.980212770000001</v>
      </c>
      <c r="R23" s="1" t="s">
        <v>37</v>
      </c>
      <c r="S23" s="3">
        <v>4.8107741040000001</v>
      </c>
      <c r="T23" s="1" t="s">
        <v>27</v>
      </c>
      <c r="U23" s="1" t="s">
        <v>28</v>
      </c>
      <c r="V23" s="4">
        <v>421.24356820000003</v>
      </c>
      <c r="W23" s="8">
        <f>Table1[[#This Row],[Revenue]]-Table1[[#This Row],[Shipping costs]]-Table1[[#This Row],[Manufacturing costs]]</f>
        <v>390.66936220800005</v>
      </c>
    </row>
    <row r="24" spans="1:23" ht="14.25" customHeight="1" x14ac:dyDescent="0.25">
      <c r="A24" s="1" t="s">
        <v>21</v>
      </c>
      <c r="B24" s="1" t="s">
        <v>69</v>
      </c>
      <c r="C24" s="2">
        <v>97.14</v>
      </c>
      <c r="D24" s="1">
        <v>46</v>
      </c>
      <c r="E24" s="1">
        <v>11</v>
      </c>
      <c r="F24" s="1">
        <v>4</v>
      </c>
      <c r="G24" s="1">
        <v>63</v>
      </c>
      <c r="H24" s="1" t="str">
        <f>IF(Table1[[#This Row],[Order quantities]]&gt;Table1[[#This Row],[Availability]], "High Risk", "Low Risk")</f>
        <v>High Risk</v>
      </c>
      <c r="I24" s="1">
        <v>6</v>
      </c>
      <c r="J24" s="1" t="s">
        <v>31</v>
      </c>
      <c r="K24" s="4">
        <v>4.6870558239999998</v>
      </c>
      <c r="L24" s="1" t="s">
        <v>32</v>
      </c>
      <c r="M24" s="1" t="s">
        <v>55</v>
      </c>
      <c r="N24" s="1">
        <v>24</v>
      </c>
      <c r="O24" s="1">
        <v>141</v>
      </c>
      <c r="P24" s="1">
        <v>16</v>
      </c>
      <c r="Q24" s="4">
        <v>92.365042419999995</v>
      </c>
      <c r="R24" s="1" t="s">
        <v>37</v>
      </c>
      <c r="S24" s="3">
        <v>3.0530828090000002</v>
      </c>
      <c r="T24" s="1" t="s">
        <v>27</v>
      </c>
      <c r="U24" s="1" t="s">
        <v>53</v>
      </c>
      <c r="V24" s="4">
        <v>990.56796359999998</v>
      </c>
      <c r="W24" s="8">
        <f>Table1[[#This Row],[Revenue]]-Table1[[#This Row],[Shipping costs]]-Table1[[#This Row],[Manufacturing costs]]</f>
        <v>893.51586535599995</v>
      </c>
    </row>
    <row r="25" spans="1:23" ht="14.25" customHeight="1" x14ac:dyDescent="0.25">
      <c r="A25" s="1" t="s">
        <v>21</v>
      </c>
      <c r="B25" s="1" t="s">
        <v>70</v>
      </c>
      <c r="C25" s="2">
        <v>85</v>
      </c>
      <c r="D25" s="1">
        <v>31</v>
      </c>
      <c r="E25" s="1">
        <v>86</v>
      </c>
      <c r="F25" s="1">
        <v>2</v>
      </c>
      <c r="G25" s="1">
        <v>22</v>
      </c>
      <c r="H25" s="1" t="str">
        <f>IF(Table1[[#This Row],[Order quantities]]&gt;Table1[[#This Row],[Availability]], "High Risk", "Low Risk")</f>
        <v>Low Risk</v>
      </c>
      <c r="I25" s="1">
        <v>8</v>
      </c>
      <c r="J25" s="1" t="s">
        <v>31</v>
      </c>
      <c r="K25" s="4">
        <v>9.8039860169999997</v>
      </c>
      <c r="L25" s="1" t="s">
        <v>32</v>
      </c>
      <c r="M25" s="1" t="s">
        <v>46</v>
      </c>
      <c r="N25" s="1">
        <v>3</v>
      </c>
      <c r="O25" s="1">
        <v>895</v>
      </c>
      <c r="P25" s="1">
        <v>8</v>
      </c>
      <c r="Q25" s="4">
        <v>51.868488980000002</v>
      </c>
      <c r="R25" s="1" t="s">
        <v>34</v>
      </c>
      <c r="S25" s="3">
        <v>2.8414287709999999</v>
      </c>
      <c r="T25" s="1" t="s">
        <v>47</v>
      </c>
      <c r="U25" s="1" t="s">
        <v>28</v>
      </c>
      <c r="V25" s="4">
        <v>336.31513430000001</v>
      </c>
      <c r="W25" s="8">
        <f>Table1[[#This Row],[Revenue]]-Table1[[#This Row],[Shipping costs]]-Table1[[#This Row],[Manufacturing costs]]</f>
        <v>274.64265930300002</v>
      </c>
    </row>
    <row r="26" spans="1:23" ht="14.25" customHeight="1" x14ac:dyDescent="0.25">
      <c r="A26" s="1" t="s">
        <v>21</v>
      </c>
      <c r="B26" s="1" t="s">
        <v>71</v>
      </c>
      <c r="C26" s="2">
        <v>84.64</v>
      </c>
      <c r="D26" s="1">
        <v>9</v>
      </c>
      <c r="E26" s="1">
        <v>523</v>
      </c>
      <c r="F26" s="1">
        <v>29</v>
      </c>
      <c r="G26" s="1">
        <v>11</v>
      </c>
      <c r="H26" s="1" t="str">
        <f>IF(Table1[[#This Row],[Order quantities]]&gt;Table1[[#This Row],[Availability]], "High Risk", "Low Risk")</f>
        <v>High Risk</v>
      </c>
      <c r="I26" s="1">
        <v>8</v>
      </c>
      <c r="J26" s="1" t="s">
        <v>23</v>
      </c>
      <c r="K26" s="4">
        <v>2.6280271119999998</v>
      </c>
      <c r="L26" s="1" t="s">
        <v>24</v>
      </c>
      <c r="M26" s="1" t="s">
        <v>46</v>
      </c>
      <c r="N26" s="1">
        <v>22</v>
      </c>
      <c r="O26" s="1">
        <v>478</v>
      </c>
      <c r="P26" s="1">
        <v>16</v>
      </c>
      <c r="Q26" s="4">
        <v>15.686945140000001</v>
      </c>
      <c r="R26" s="1" t="s">
        <v>34</v>
      </c>
      <c r="S26" s="3">
        <v>0.17121726300000001</v>
      </c>
      <c r="T26" s="1" t="s">
        <v>27</v>
      </c>
      <c r="U26" s="1" t="s">
        <v>53</v>
      </c>
      <c r="V26" s="4">
        <v>329.3229394</v>
      </c>
      <c r="W26" s="8">
        <f>Table1[[#This Row],[Revenue]]-Table1[[#This Row],[Shipping costs]]-Table1[[#This Row],[Manufacturing costs]]</f>
        <v>311.00796714800003</v>
      </c>
    </row>
    <row r="27" spans="1:23" ht="14.25" customHeight="1" x14ac:dyDescent="0.25">
      <c r="A27" s="1" t="s">
        <v>29</v>
      </c>
      <c r="B27" s="1" t="s">
        <v>72</v>
      </c>
      <c r="C27" s="2">
        <v>49.53</v>
      </c>
      <c r="D27" s="1">
        <v>15</v>
      </c>
      <c r="E27" s="1">
        <v>908</v>
      </c>
      <c r="F27" s="1">
        <v>24</v>
      </c>
      <c r="G27" s="1">
        <v>58</v>
      </c>
      <c r="H27" s="1" t="str">
        <f>IF(Table1[[#This Row],[Order quantities]]&gt;Table1[[#This Row],[Availability]], "High Risk", "Low Risk")</f>
        <v>High Risk</v>
      </c>
      <c r="I27" s="1">
        <v>6</v>
      </c>
      <c r="J27" s="1" t="s">
        <v>43</v>
      </c>
      <c r="K27" s="4">
        <v>8.1924217400000003</v>
      </c>
      <c r="L27" s="1" t="s">
        <v>24</v>
      </c>
      <c r="M27" s="1" t="s">
        <v>49</v>
      </c>
      <c r="N27" s="1">
        <v>4</v>
      </c>
      <c r="O27" s="1">
        <v>821</v>
      </c>
      <c r="P27" s="1">
        <v>18</v>
      </c>
      <c r="Q27" s="4">
        <v>63.836874989999998</v>
      </c>
      <c r="R27" s="1" t="s">
        <v>51</v>
      </c>
      <c r="S27" s="3">
        <v>0.49665354</v>
      </c>
      <c r="T27" s="1" t="s">
        <v>47</v>
      </c>
      <c r="U27" s="1" t="s">
        <v>39</v>
      </c>
      <c r="V27" s="4">
        <v>795.0332482</v>
      </c>
      <c r="W27" s="8">
        <f>Table1[[#This Row],[Revenue]]-Table1[[#This Row],[Shipping costs]]-Table1[[#This Row],[Manufacturing costs]]</f>
        <v>723.00395147000006</v>
      </c>
    </row>
    <row r="28" spans="1:23" ht="14.25" customHeight="1" x14ac:dyDescent="0.25">
      <c r="A28" s="1" t="s">
        <v>21</v>
      </c>
      <c r="B28" s="1" t="s">
        <v>73</v>
      </c>
      <c r="C28" s="2">
        <v>44.41</v>
      </c>
      <c r="D28" s="1">
        <v>70</v>
      </c>
      <c r="E28" s="1">
        <v>536</v>
      </c>
      <c r="F28" s="1">
        <v>24</v>
      </c>
      <c r="G28" s="1">
        <v>57</v>
      </c>
      <c r="H28" s="1" t="str">
        <f>IF(Table1[[#This Row],[Order quantities]]&gt;Table1[[#This Row],[Availability]], "High Risk", "Low Risk")</f>
        <v>Low Risk</v>
      </c>
      <c r="I28" s="1">
        <v>4</v>
      </c>
      <c r="J28" s="1" t="s">
        <v>31</v>
      </c>
      <c r="K28" s="4">
        <v>4.007734428</v>
      </c>
      <c r="L28" s="1" t="s">
        <v>32</v>
      </c>
      <c r="M28" s="1" t="s">
        <v>33</v>
      </c>
      <c r="N28" s="1">
        <v>11</v>
      </c>
      <c r="O28" s="1">
        <v>305</v>
      </c>
      <c r="P28" s="1">
        <v>20</v>
      </c>
      <c r="Q28" s="4">
        <v>64.164371380000006</v>
      </c>
      <c r="R28" s="1" t="s">
        <v>34</v>
      </c>
      <c r="S28" s="3">
        <v>2.9281409699999998</v>
      </c>
      <c r="T28" s="1" t="s">
        <v>47</v>
      </c>
      <c r="U28" s="1" t="s">
        <v>53</v>
      </c>
      <c r="V28" s="4">
        <v>491.19158620000002</v>
      </c>
      <c r="W28" s="8">
        <f>Table1[[#This Row],[Revenue]]-Table1[[#This Row],[Shipping costs]]-Table1[[#This Row],[Manufacturing costs]]</f>
        <v>423.01948039199999</v>
      </c>
    </row>
    <row r="29" spans="1:23" ht="14.25" customHeight="1" x14ac:dyDescent="0.25">
      <c r="A29" s="1" t="s">
        <v>29</v>
      </c>
      <c r="B29" s="1" t="s">
        <v>74</v>
      </c>
      <c r="C29" s="2">
        <v>30.97</v>
      </c>
      <c r="D29" s="1">
        <v>16</v>
      </c>
      <c r="E29" s="1">
        <v>300</v>
      </c>
      <c r="F29" s="1">
        <v>10</v>
      </c>
      <c r="G29" s="1">
        <v>77</v>
      </c>
      <c r="H29" s="1" t="str">
        <f>IF(Table1[[#This Row],[Order quantities]]&gt;Table1[[#This Row],[Availability]], "High Risk", "Low Risk")</f>
        <v>High Risk</v>
      </c>
      <c r="I29" s="1">
        <v>8</v>
      </c>
      <c r="J29" s="1" t="s">
        <v>31</v>
      </c>
      <c r="K29" s="4">
        <v>7.5778331120000004</v>
      </c>
      <c r="L29" s="1" t="s">
        <v>32</v>
      </c>
      <c r="M29" s="1" t="s">
        <v>55</v>
      </c>
      <c r="N29" s="1">
        <v>23</v>
      </c>
      <c r="O29" s="1">
        <v>565</v>
      </c>
      <c r="P29" s="1">
        <v>16</v>
      </c>
      <c r="Q29" s="4">
        <v>15.80506828</v>
      </c>
      <c r="R29" s="1" t="s">
        <v>51</v>
      </c>
      <c r="S29" s="3">
        <v>4.6875779</v>
      </c>
      <c r="T29" s="1" t="s">
        <v>35</v>
      </c>
      <c r="U29" s="1" t="s">
        <v>39</v>
      </c>
      <c r="V29" s="4">
        <v>397.71549529999999</v>
      </c>
      <c r="W29" s="8">
        <f>Table1[[#This Row],[Revenue]]-Table1[[#This Row],[Shipping costs]]-Table1[[#This Row],[Manufacturing costs]]</f>
        <v>374.33259390799998</v>
      </c>
    </row>
    <row r="30" spans="1:23" ht="14.25" customHeight="1" x14ac:dyDescent="0.25">
      <c r="A30" s="1" t="s">
        <v>29</v>
      </c>
      <c r="B30" s="1" t="s">
        <v>75</v>
      </c>
      <c r="C30" s="2">
        <v>10.36</v>
      </c>
      <c r="D30" s="1">
        <v>22</v>
      </c>
      <c r="E30" s="1">
        <v>242</v>
      </c>
      <c r="F30" s="1">
        <v>4</v>
      </c>
      <c r="G30" s="1">
        <v>4</v>
      </c>
      <c r="H30" s="1" t="str">
        <f>IF(Table1[[#This Row],[Order quantities]]&gt;Table1[[#This Row],[Availability]], "High Risk", "Low Risk")</f>
        <v>Low Risk</v>
      </c>
      <c r="I30" s="1">
        <v>8</v>
      </c>
      <c r="J30" s="1" t="s">
        <v>31</v>
      </c>
      <c r="K30" s="4">
        <v>4.7800990390000004</v>
      </c>
      <c r="L30" s="1" t="s">
        <v>44</v>
      </c>
      <c r="M30" s="1" t="s">
        <v>46</v>
      </c>
      <c r="N30" s="1">
        <v>26</v>
      </c>
      <c r="O30" s="1">
        <v>831</v>
      </c>
      <c r="P30" s="1">
        <v>11</v>
      </c>
      <c r="Q30" s="4">
        <v>97.527024609999998</v>
      </c>
      <c r="R30" s="1" t="s">
        <v>51</v>
      </c>
      <c r="S30" s="3">
        <v>4.3467876070000004</v>
      </c>
      <c r="T30" s="1" t="s">
        <v>27</v>
      </c>
      <c r="U30" s="1" t="s">
        <v>39</v>
      </c>
      <c r="V30" s="4">
        <v>260.79652479999999</v>
      </c>
      <c r="W30" s="8">
        <f>Table1[[#This Row],[Revenue]]-Table1[[#This Row],[Shipping costs]]-Table1[[#This Row],[Manufacturing costs]]</f>
        <v>158.48940115099998</v>
      </c>
    </row>
    <row r="31" spans="1:23" ht="14.25" customHeight="1" x14ac:dyDescent="0.25">
      <c r="A31" s="1" t="s">
        <v>21</v>
      </c>
      <c r="B31" s="1" t="s">
        <v>76</v>
      </c>
      <c r="C31" s="2">
        <v>87.15</v>
      </c>
      <c r="D31" s="1">
        <v>25</v>
      </c>
      <c r="E31" s="1">
        <v>121</v>
      </c>
      <c r="F31" s="1">
        <v>3</v>
      </c>
      <c r="G31" s="1">
        <v>86</v>
      </c>
      <c r="H31" s="1" t="str">
        <f>IF(Table1[[#This Row],[Order quantities]]&gt;Table1[[#This Row],[Availability]], "High Risk", "Low Risk")</f>
        <v>High Risk</v>
      </c>
      <c r="I31" s="1">
        <v>1</v>
      </c>
      <c r="J31" s="1" t="s">
        <v>23</v>
      </c>
      <c r="K31" s="4">
        <v>6.2052378680000002</v>
      </c>
      <c r="L31" s="1" t="s">
        <v>38</v>
      </c>
      <c r="M31" s="1" t="s">
        <v>46</v>
      </c>
      <c r="N31" s="1">
        <v>14</v>
      </c>
      <c r="O31" s="1">
        <v>379</v>
      </c>
      <c r="P31" s="1">
        <v>7</v>
      </c>
      <c r="Q31" s="4">
        <v>58.962696880000003</v>
      </c>
      <c r="R31" s="1" t="s">
        <v>34</v>
      </c>
      <c r="S31" s="3">
        <v>4.9146367230000001</v>
      </c>
      <c r="T31" s="1" t="s">
        <v>27</v>
      </c>
      <c r="U31" s="1" t="s">
        <v>28</v>
      </c>
      <c r="V31" s="4">
        <v>788.79918780000003</v>
      </c>
      <c r="W31" s="8">
        <f>Table1[[#This Row],[Revenue]]-Table1[[#This Row],[Shipping costs]]-Table1[[#This Row],[Manufacturing costs]]</f>
        <v>723.63125305200003</v>
      </c>
    </row>
    <row r="32" spans="1:23" ht="14.25" customHeight="1" x14ac:dyDescent="0.25">
      <c r="A32" s="1" t="s">
        <v>29</v>
      </c>
      <c r="B32" s="1" t="s">
        <v>77</v>
      </c>
      <c r="C32" s="2">
        <v>82.23</v>
      </c>
      <c r="D32" s="1">
        <v>84</v>
      </c>
      <c r="E32" s="1">
        <v>146</v>
      </c>
      <c r="F32" s="1">
        <v>2</v>
      </c>
      <c r="G32" s="1">
        <v>7</v>
      </c>
      <c r="H32" s="1" t="str">
        <f>IF(Table1[[#This Row],[Order quantities]]&gt;Table1[[#This Row],[Availability]], "High Risk", "Low Risk")</f>
        <v>Low Risk</v>
      </c>
      <c r="I32" s="1">
        <v>4</v>
      </c>
      <c r="J32" s="1" t="s">
        <v>37</v>
      </c>
      <c r="K32" s="4">
        <v>8.4935059600000002</v>
      </c>
      <c r="L32" s="1" t="s">
        <v>44</v>
      </c>
      <c r="M32" s="1" t="s">
        <v>46</v>
      </c>
      <c r="N32" s="1">
        <v>29</v>
      </c>
      <c r="O32" s="1">
        <v>747</v>
      </c>
      <c r="P32" s="1">
        <v>17</v>
      </c>
      <c r="Q32" s="4">
        <v>60.381614999999996</v>
      </c>
      <c r="R32" s="1" t="s">
        <v>26</v>
      </c>
      <c r="S32" s="3">
        <v>2.6863867840000002</v>
      </c>
      <c r="T32" s="1" t="s">
        <v>47</v>
      </c>
      <c r="U32" s="1" t="s">
        <v>39</v>
      </c>
      <c r="V32" s="4">
        <v>807.68962550000003</v>
      </c>
      <c r="W32" s="8">
        <f>Table1[[#This Row],[Revenue]]-Table1[[#This Row],[Shipping costs]]-Table1[[#This Row],[Manufacturing costs]]</f>
        <v>738.81450454000003</v>
      </c>
    </row>
    <row r="33" spans="1:23" ht="14.25" customHeight="1" x14ac:dyDescent="0.25">
      <c r="A33" s="1" t="s">
        <v>21</v>
      </c>
      <c r="B33" s="1" t="s">
        <v>78</v>
      </c>
      <c r="C33" s="2">
        <v>99.68</v>
      </c>
      <c r="D33" s="1">
        <v>6</v>
      </c>
      <c r="E33" s="1">
        <v>749</v>
      </c>
      <c r="F33" s="1">
        <v>17</v>
      </c>
      <c r="G33" s="1">
        <v>54</v>
      </c>
      <c r="H33" s="1" t="str">
        <f>IF(Table1[[#This Row],[Order quantities]]&gt;Table1[[#This Row],[Availability]], "High Risk", "Low Risk")</f>
        <v>High Risk</v>
      </c>
      <c r="I33" s="1">
        <v>7</v>
      </c>
      <c r="J33" s="1" t="s">
        <v>31</v>
      </c>
      <c r="K33" s="4">
        <v>8.7978086520000005</v>
      </c>
      <c r="L33" s="1" t="s">
        <v>44</v>
      </c>
      <c r="M33" s="1" t="s">
        <v>49</v>
      </c>
      <c r="N33" s="1">
        <v>16</v>
      </c>
      <c r="O33" s="1">
        <v>217</v>
      </c>
      <c r="P33" s="1">
        <v>12</v>
      </c>
      <c r="Q33" s="4">
        <v>64.965860169999999</v>
      </c>
      <c r="R33" s="1" t="s">
        <v>51</v>
      </c>
      <c r="S33" s="3">
        <v>4.217961624</v>
      </c>
      <c r="T33" s="1" t="s">
        <v>47</v>
      </c>
      <c r="U33" s="1" t="s">
        <v>39</v>
      </c>
      <c r="V33" s="4">
        <v>961.58225189999996</v>
      </c>
      <c r="W33" s="8">
        <f>Table1[[#This Row],[Revenue]]-Table1[[#This Row],[Shipping costs]]-Table1[[#This Row],[Manufacturing costs]]</f>
        <v>887.81858307799996</v>
      </c>
    </row>
    <row r="34" spans="1:23" ht="14.25" customHeight="1" x14ac:dyDescent="0.25">
      <c r="A34" s="1" t="s">
        <v>29</v>
      </c>
      <c r="B34" s="1" t="s">
        <v>79</v>
      </c>
      <c r="C34" s="2">
        <v>57.77</v>
      </c>
      <c r="D34" s="1">
        <v>13</v>
      </c>
      <c r="E34" s="1">
        <v>355</v>
      </c>
      <c r="F34" s="1">
        <v>23</v>
      </c>
      <c r="G34" s="1">
        <v>88</v>
      </c>
      <c r="H34" s="1" t="str">
        <f>IF(Table1[[#This Row],[Order quantities]]&gt;Table1[[#This Row],[Availability]], "High Risk", "Low Risk")</f>
        <v>High Risk</v>
      </c>
      <c r="I34" s="1">
        <v>7</v>
      </c>
      <c r="J34" s="1" t="s">
        <v>23</v>
      </c>
      <c r="K34" s="4">
        <v>1.5365559280000001</v>
      </c>
      <c r="L34" s="1" t="s">
        <v>24</v>
      </c>
      <c r="M34" s="1" t="s">
        <v>46</v>
      </c>
      <c r="N34" s="1">
        <v>22</v>
      </c>
      <c r="O34" s="1">
        <v>336</v>
      </c>
      <c r="P34" s="1">
        <v>13</v>
      </c>
      <c r="Q34" s="4">
        <v>33.786977749999998</v>
      </c>
      <c r="R34" s="1" t="s">
        <v>51</v>
      </c>
      <c r="S34" s="3">
        <v>3.275355121</v>
      </c>
      <c r="T34" s="1" t="s">
        <v>35</v>
      </c>
      <c r="U34" s="1" t="s">
        <v>28</v>
      </c>
      <c r="V34" s="4">
        <v>386.34694339999999</v>
      </c>
      <c r="W34" s="8">
        <f>Table1[[#This Row],[Revenue]]-Table1[[#This Row],[Shipping costs]]-Table1[[#This Row],[Manufacturing costs]]</f>
        <v>351.023409722</v>
      </c>
    </row>
    <row r="35" spans="1:23" ht="14.25" customHeight="1" x14ac:dyDescent="0.25">
      <c r="A35" s="1" t="s">
        <v>29</v>
      </c>
      <c r="B35" s="1" t="s">
        <v>80</v>
      </c>
      <c r="C35" s="2">
        <v>78.05</v>
      </c>
      <c r="D35" s="1">
        <v>78</v>
      </c>
      <c r="E35" s="1">
        <v>684</v>
      </c>
      <c r="F35" s="1">
        <v>21</v>
      </c>
      <c r="G35" s="1">
        <v>68</v>
      </c>
      <c r="H35" s="1" t="str">
        <f>IF(Table1[[#This Row],[Order quantities]]&gt;Table1[[#This Row],[Availability]], "High Risk", "Low Risk")</f>
        <v>Low Risk</v>
      </c>
      <c r="I35" s="1">
        <v>8</v>
      </c>
      <c r="J35" s="1" t="s">
        <v>23</v>
      </c>
      <c r="K35" s="4">
        <v>7.2284549770000002</v>
      </c>
      <c r="L35" s="1" t="s">
        <v>41</v>
      </c>
      <c r="M35" s="1" t="s">
        <v>46</v>
      </c>
      <c r="N35" s="1">
        <v>15</v>
      </c>
      <c r="O35" s="1">
        <v>408</v>
      </c>
      <c r="P35" s="1">
        <v>10</v>
      </c>
      <c r="Q35" s="4">
        <v>35.851721320000003</v>
      </c>
      <c r="R35" s="1" t="s">
        <v>34</v>
      </c>
      <c r="S35" s="3">
        <v>1.7598745309999999</v>
      </c>
      <c r="T35" s="1" t="s">
        <v>27</v>
      </c>
      <c r="U35" s="1" t="s">
        <v>53</v>
      </c>
      <c r="V35" s="4">
        <v>297.6571409</v>
      </c>
      <c r="W35" s="8">
        <f>Table1[[#This Row],[Revenue]]-Table1[[#This Row],[Shipping costs]]-Table1[[#This Row],[Manufacturing costs]]</f>
        <v>254.57696460299999</v>
      </c>
    </row>
    <row r="36" spans="1:23" ht="14.25" customHeight="1" x14ac:dyDescent="0.25">
      <c r="A36" s="1" t="s">
        <v>29</v>
      </c>
      <c r="B36" s="1" t="s">
        <v>81</v>
      </c>
      <c r="C36" s="2">
        <v>94.75</v>
      </c>
      <c r="D36" s="1">
        <v>6</v>
      </c>
      <c r="E36" s="1">
        <v>903</v>
      </c>
      <c r="F36" s="1">
        <v>24</v>
      </c>
      <c r="G36" s="1">
        <v>92</v>
      </c>
      <c r="H36" s="1" t="str">
        <f>IF(Table1[[#This Row],[Order quantities]]&gt;Table1[[#This Row],[Availability]], "High Risk", "Low Risk")</f>
        <v>High Risk</v>
      </c>
      <c r="I36" s="1">
        <v>5</v>
      </c>
      <c r="J36" s="1" t="s">
        <v>43</v>
      </c>
      <c r="K36" s="4">
        <v>2.2598863900000001</v>
      </c>
      <c r="L36" s="1" t="s">
        <v>24</v>
      </c>
      <c r="M36" s="1" t="s">
        <v>33</v>
      </c>
      <c r="N36" s="1">
        <v>28</v>
      </c>
      <c r="O36" s="1">
        <v>555</v>
      </c>
      <c r="P36" s="1">
        <v>7</v>
      </c>
      <c r="Q36" s="4">
        <v>56.020518080000002</v>
      </c>
      <c r="R36" s="1" t="s">
        <v>26</v>
      </c>
      <c r="S36" s="3">
        <v>2.4028943300000001</v>
      </c>
      <c r="T36" s="1" t="s">
        <v>35</v>
      </c>
      <c r="U36" s="1" t="s">
        <v>53</v>
      </c>
      <c r="V36" s="4">
        <v>709.72009200000002</v>
      </c>
      <c r="W36" s="8">
        <f>Table1[[#This Row],[Revenue]]-Table1[[#This Row],[Shipping costs]]-Table1[[#This Row],[Manufacturing costs]]</f>
        <v>651.43968753000001</v>
      </c>
    </row>
    <row r="37" spans="1:23" ht="14.25" customHeight="1" x14ac:dyDescent="0.25">
      <c r="A37" s="1" t="s">
        <v>21</v>
      </c>
      <c r="B37" s="1" t="s">
        <v>82</v>
      </c>
      <c r="C37" s="2">
        <v>85.72</v>
      </c>
      <c r="D37" s="1">
        <v>8</v>
      </c>
      <c r="E37" s="1">
        <v>732</v>
      </c>
      <c r="F37" s="1">
        <v>20</v>
      </c>
      <c r="G37" s="1">
        <v>79</v>
      </c>
      <c r="H37" s="1" t="str">
        <f>IF(Table1[[#This Row],[Order quantities]]&gt;Table1[[#This Row],[Availability]], "High Risk", "Low Risk")</f>
        <v>High Risk</v>
      </c>
      <c r="I37" s="1">
        <v>7</v>
      </c>
      <c r="J37" s="1" t="s">
        <v>31</v>
      </c>
      <c r="K37" s="4">
        <v>4.7423671120000002</v>
      </c>
      <c r="L37" s="1" t="s">
        <v>38</v>
      </c>
      <c r="M37" s="1" t="s">
        <v>25</v>
      </c>
      <c r="N37" s="1">
        <v>10</v>
      </c>
      <c r="O37" s="1">
        <v>999</v>
      </c>
      <c r="P37" s="1">
        <v>14</v>
      </c>
      <c r="Q37" s="4">
        <v>82.601726929999998</v>
      </c>
      <c r="R37" s="1" t="s">
        <v>26</v>
      </c>
      <c r="S37" s="3">
        <v>4.3037936539999997</v>
      </c>
      <c r="T37" s="1" t="s">
        <v>47</v>
      </c>
      <c r="U37" s="1" t="s">
        <v>28</v>
      </c>
      <c r="V37" s="4">
        <v>782.56777669999997</v>
      </c>
      <c r="W37" s="8">
        <f>Table1[[#This Row],[Revenue]]-Table1[[#This Row],[Shipping costs]]-Table1[[#This Row],[Manufacturing costs]]</f>
        <v>695.22368265799992</v>
      </c>
    </row>
    <row r="38" spans="1:23" ht="14.25" customHeight="1" x14ac:dyDescent="0.25">
      <c r="A38" s="1" t="s">
        <v>21</v>
      </c>
      <c r="B38" s="1" t="s">
        <v>83</v>
      </c>
      <c r="C38" s="2">
        <v>28.5</v>
      </c>
      <c r="D38" s="1">
        <v>47</v>
      </c>
      <c r="E38" s="1">
        <v>630</v>
      </c>
      <c r="F38" s="1">
        <v>23</v>
      </c>
      <c r="G38" s="1">
        <v>1</v>
      </c>
      <c r="H38" s="1" t="str">
        <f>IF(Table1[[#This Row],[Order quantities]]&gt;Table1[[#This Row],[Availability]], "High Risk", "Low Risk")</f>
        <v>Low Risk</v>
      </c>
      <c r="I38" s="1">
        <v>8</v>
      </c>
      <c r="J38" s="1" t="s">
        <v>31</v>
      </c>
      <c r="K38" s="4">
        <v>5.9372957350000002</v>
      </c>
      <c r="L38" s="1" t="s">
        <v>24</v>
      </c>
      <c r="M38" s="1" t="s">
        <v>62</v>
      </c>
      <c r="N38" s="1">
        <v>9</v>
      </c>
      <c r="O38" s="1">
        <v>574</v>
      </c>
      <c r="P38" s="1">
        <v>23</v>
      </c>
      <c r="Q38" s="4">
        <v>14.487811880000001</v>
      </c>
      <c r="R38" s="1" t="s">
        <v>26</v>
      </c>
      <c r="S38" s="3">
        <v>1.5628848369999999</v>
      </c>
      <c r="T38" s="1" t="s">
        <v>27</v>
      </c>
      <c r="U38" s="1" t="s">
        <v>39</v>
      </c>
      <c r="V38" s="4">
        <v>302.41537349999999</v>
      </c>
      <c r="W38" s="8">
        <f>Table1[[#This Row],[Revenue]]-Table1[[#This Row],[Shipping costs]]-Table1[[#This Row],[Manufacturing costs]]</f>
        <v>281.99026588499999</v>
      </c>
    </row>
    <row r="39" spans="1:23" ht="14.25" customHeight="1" x14ac:dyDescent="0.25">
      <c r="A39" s="1" t="s">
        <v>29</v>
      </c>
      <c r="B39" s="1" t="s">
        <v>84</v>
      </c>
      <c r="C39" s="2">
        <v>47.8</v>
      </c>
      <c r="D39" s="1">
        <v>71</v>
      </c>
      <c r="E39" s="1">
        <v>308</v>
      </c>
      <c r="F39" s="1">
        <v>13</v>
      </c>
      <c r="G39" s="1">
        <v>55</v>
      </c>
      <c r="H39" s="1" t="str">
        <f>IF(Table1[[#This Row],[Order quantities]]&gt;Table1[[#This Row],[Availability]], "High Risk", "Low Risk")</f>
        <v>Low Risk</v>
      </c>
      <c r="I39" s="1">
        <v>9</v>
      </c>
      <c r="J39" s="1" t="s">
        <v>43</v>
      </c>
      <c r="K39" s="4">
        <v>4.6246553629999996</v>
      </c>
      <c r="L39" s="1" t="s">
        <v>44</v>
      </c>
      <c r="M39" s="1" t="s">
        <v>62</v>
      </c>
      <c r="N39" s="1">
        <v>11</v>
      </c>
      <c r="O39" s="1">
        <v>199</v>
      </c>
      <c r="P39" s="1">
        <v>1</v>
      </c>
      <c r="Q39" s="4">
        <v>64.306379100000001</v>
      </c>
      <c r="R39" s="1" t="s">
        <v>26</v>
      </c>
      <c r="S39" s="3">
        <v>4.626341343</v>
      </c>
      <c r="T39" s="1" t="s">
        <v>35</v>
      </c>
      <c r="U39" s="1" t="s">
        <v>28</v>
      </c>
      <c r="V39" s="4">
        <v>168.94968779999999</v>
      </c>
      <c r="W39" s="8">
        <f>Table1[[#This Row],[Revenue]]-Table1[[#This Row],[Shipping costs]]-Table1[[#This Row],[Manufacturing costs]]</f>
        <v>100.018653337</v>
      </c>
    </row>
    <row r="40" spans="1:23" ht="14.25" customHeight="1" x14ac:dyDescent="0.25">
      <c r="A40" s="1" t="s">
        <v>21</v>
      </c>
      <c r="B40" s="1" t="s">
        <v>85</v>
      </c>
      <c r="C40" s="2">
        <v>17.27</v>
      </c>
      <c r="D40" s="1">
        <v>58</v>
      </c>
      <c r="E40" s="1">
        <v>694</v>
      </c>
      <c r="F40" s="1">
        <v>5</v>
      </c>
      <c r="G40" s="1">
        <v>3</v>
      </c>
      <c r="H40" s="1" t="str">
        <f>IF(Table1[[#This Row],[Order quantities]]&gt;Table1[[#This Row],[Availability]], "High Risk", "Low Risk")</f>
        <v>Low Risk</v>
      </c>
      <c r="I40" s="1">
        <v>3</v>
      </c>
      <c r="J40" s="1" t="s">
        <v>43</v>
      </c>
      <c r="K40" s="4">
        <v>5.6765050820000003</v>
      </c>
      <c r="L40" s="1" t="s">
        <v>41</v>
      </c>
      <c r="M40" s="1" t="s">
        <v>46</v>
      </c>
      <c r="N40" s="1">
        <v>16</v>
      </c>
      <c r="O40" s="1">
        <v>360</v>
      </c>
      <c r="P40" s="1">
        <v>17</v>
      </c>
      <c r="Q40" s="4">
        <v>82.610032829999994</v>
      </c>
      <c r="R40" s="1" t="s">
        <v>26</v>
      </c>
      <c r="S40" s="3">
        <v>1.226051073</v>
      </c>
      <c r="T40" s="1" t="s">
        <v>35</v>
      </c>
      <c r="U40" s="1" t="s">
        <v>53</v>
      </c>
      <c r="V40" s="4">
        <v>829.46483790000002</v>
      </c>
      <c r="W40" s="8">
        <f>Table1[[#This Row],[Revenue]]-Table1[[#This Row],[Shipping costs]]-Table1[[#This Row],[Manufacturing costs]]</f>
        <v>741.17829998800005</v>
      </c>
    </row>
    <row r="41" spans="1:23" ht="14.25" customHeight="1" x14ac:dyDescent="0.25">
      <c r="A41" s="1" t="s">
        <v>21</v>
      </c>
      <c r="B41" s="1" t="s">
        <v>86</v>
      </c>
      <c r="C41" s="2">
        <v>95.63</v>
      </c>
      <c r="D41" s="1">
        <v>86</v>
      </c>
      <c r="E41" s="1">
        <v>287</v>
      </c>
      <c r="F41" s="1">
        <v>30</v>
      </c>
      <c r="G41" s="1">
        <v>78</v>
      </c>
      <c r="H41" s="1" t="str">
        <f>IF(Table1[[#This Row],[Order quantities]]&gt;Table1[[#This Row],[Availability]], "High Risk", "Low Risk")</f>
        <v>Low Risk</v>
      </c>
      <c r="I41" s="1">
        <v>3</v>
      </c>
      <c r="J41" s="1" t="s">
        <v>31</v>
      </c>
      <c r="K41" s="4">
        <v>9.9687367790000003</v>
      </c>
      <c r="L41" s="1" t="s">
        <v>41</v>
      </c>
      <c r="M41" s="1" t="s">
        <v>55</v>
      </c>
      <c r="N41" s="1">
        <v>10</v>
      </c>
      <c r="O41" s="1">
        <v>404</v>
      </c>
      <c r="P41" s="1">
        <v>4</v>
      </c>
      <c r="Q41" s="4">
        <v>24.122554480000002</v>
      </c>
      <c r="R41" s="1" t="s">
        <v>34</v>
      </c>
      <c r="S41" s="3">
        <v>3.7726304339999999</v>
      </c>
      <c r="T41" s="1" t="s">
        <v>27</v>
      </c>
      <c r="U41" s="1" t="s">
        <v>28</v>
      </c>
      <c r="V41" s="4">
        <v>978.85177629999998</v>
      </c>
      <c r="W41" s="8">
        <f>Table1[[#This Row],[Revenue]]-Table1[[#This Row],[Shipping costs]]-Table1[[#This Row],[Manufacturing costs]]</f>
        <v>944.76048504100004</v>
      </c>
    </row>
    <row r="42" spans="1:23" ht="14.25" customHeight="1" x14ac:dyDescent="0.25">
      <c r="A42" s="1" t="s">
        <v>29</v>
      </c>
      <c r="B42" s="1" t="s">
        <v>87</v>
      </c>
      <c r="C42" s="2">
        <v>62.59</v>
      </c>
      <c r="D42" s="1">
        <v>92</v>
      </c>
      <c r="E42" s="1">
        <v>306</v>
      </c>
      <c r="F42" s="1">
        <v>21</v>
      </c>
      <c r="G42" s="1">
        <v>38</v>
      </c>
      <c r="H42" s="1" t="str">
        <f>IF(Table1[[#This Row],[Order quantities]]&gt;Table1[[#This Row],[Availability]], "High Risk", "Low Risk")</f>
        <v>Low Risk</v>
      </c>
      <c r="I42" s="1">
        <v>4</v>
      </c>
      <c r="J42" s="1" t="s">
        <v>43</v>
      </c>
      <c r="K42" s="4">
        <v>2.2169558230000002</v>
      </c>
      <c r="L42" s="1" t="s">
        <v>24</v>
      </c>
      <c r="M42" s="1" t="s">
        <v>46</v>
      </c>
      <c r="N42" s="1">
        <v>17</v>
      </c>
      <c r="O42" s="1">
        <v>453</v>
      </c>
      <c r="P42" s="1">
        <v>21</v>
      </c>
      <c r="Q42" s="4">
        <v>11.352028779999999</v>
      </c>
      <c r="R42" s="1" t="s">
        <v>51</v>
      </c>
      <c r="S42" s="3">
        <v>3.1897402480000001</v>
      </c>
      <c r="T42" s="1" t="s">
        <v>27</v>
      </c>
      <c r="U42" s="1" t="s">
        <v>39</v>
      </c>
      <c r="V42" s="4">
        <v>680.20505749999995</v>
      </c>
      <c r="W42" s="8">
        <f>Table1[[#This Row],[Revenue]]-Table1[[#This Row],[Shipping costs]]-Table1[[#This Row],[Manufacturing costs]]</f>
        <v>666.63607289699996</v>
      </c>
    </row>
    <row r="43" spans="1:23" ht="14.25" customHeight="1" x14ac:dyDescent="0.25">
      <c r="A43" s="1" t="s">
        <v>21</v>
      </c>
      <c r="B43" s="1" t="s">
        <v>88</v>
      </c>
      <c r="C43" s="2">
        <v>26.72</v>
      </c>
      <c r="D43" s="1">
        <v>81</v>
      </c>
      <c r="E43" s="1">
        <v>811</v>
      </c>
      <c r="F43" s="1">
        <v>30</v>
      </c>
      <c r="G43" s="1">
        <v>1</v>
      </c>
      <c r="H43" s="1" t="str">
        <f>IF(Table1[[#This Row],[Order quantities]]&gt;Table1[[#This Row],[Availability]], "High Risk", "Low Risk")</f>
        <v>Low Risk</v>
      </c>
      <c r="I43" s="1">
        <v>5</v>
      </c>
      <c r="J43" s="1" t="s">
        <v>31</v>
      </c>
      <c r="K43" s="4">
        <v>7.0791044080000001</v>
      </c>
      <c r="L43" s="1" t="s">
        <v>44</v>
      </c>
      <c r="M43" s="1" t="s">
        <v>46</v>
      </c>
      <c r="N43" s="1">
        <v>19</v>
      </c>
      <c r="O43" s="1">
        <v>385</v>
      </c>
      <c r="P43" s="1">
        <v>5</v>
      </c>
      <c r="Q43" s="4">
        <v>38.144196559999997</v>
      </c>
      <c r="R43" s="1" t="s">
        <v>34</v>
      </c>
      <c r="S43" s="3">
        <v>3.7730372609999998</v>
      </c>
      <c r="T43" s="1" t="s">
        <v>27</v>
      </c>
      <c r="U43" s="1" t="s">
        <v>39</v>
      </c>
      <c r="V43" s="4">
        <v>350.08021009999999</v>
      </c>
      <c r="W43" s="8">
        <f>Table1[[#This Row],[Revenue]]-Table1[[#This Row],[Shipping costs]]-Table1[[#This Row],[Manufacturing costs]]</f>
        <v>304.856909132</v>
      </c>
    </row>
    <row r="44" spans="1:23" ht="14.25" customHeight="1" x14ac:dyDescent="0.25">
      <c r="A44" s="1" t="s">
        <v>29</v>
      </c>
      <c r="B44" s="1" t="s">
        <v>89</v>
      </c>
      <c r="C44" s="2">
        <v>53.83</v>
      </c>
      <c r="D44" s="1">
        <v>12</v>
      </c>
      <c r="E44" s="1">
        <v>953</v>
      </c>
      <c r="F44" s="1">
        <v>15</v>
      </c>
      <c r="G44" s="1">
        <v>88</v>
      </c>
      <c r="H44" s="1" t="str">
        <f>IF(Table1[[#This Row],[Order quantities]]&gt;Table1[[#This Row],[Availability]], "High Risk", "Low Risk")</f>
        <v>High Risk</v>
      </c>
      <c r="I44" s="1">
        <v>8</v>
      </c>
      <c r="J44" s="1" t="s">
        <v>23</v>
      </c>
      <c r="K44" s="4">
        <v>6.1065184969999997</v>
      </c>
      <c r="L44" s="1" t="s">
        <v>41</v>
      </c>
      <c r="M44" s="1" t="s">
        <v>33</v>
      </c>
      <c r="N44" s="1">
        <v>27</v>
      </c>
      <c r="O44" s="1">
        <v>296</v>
      </c>
      <c r="P44" s="1">
        <v>7</v>
      </c>
      <c r="Q44" s="4">
        <v>83.629375150000001</v>
      </c>
      <c r="R44" s="1" t="s">
        <v>26</v>
      </c>
      <c r="S44" s="3">
        <v>4.954491537</v>
      </c>
      <c r="T44" s="1" t="s">
        <v>35</v>
      </c>
      <c r="U44" s="1" t="s">
        <v>39</v>
      </c>
      <c r="V44" s="4">
        <v>789.04433640000002</v>
      </c>
      <c r="W44" s="8">
        <f>Table1[[#This Row],[Revenue]]-Table1[[#This Row],[Shipping costs]]-Table1[[#This Row],[Manufacturing costs]]</f>
        <v>699.30844275300001</v>
      </c>
    </row>
    <row r="45" spans="1:23" ht="14.25" customHeight="1" x14ac:dyDescent="0.25">
      <c r="A45" s="1" t="s">
        <v>21</v>
      </c>
      <c r="B45" s="1" t="s">
        <v>90</v>
      </c>
      <c r="C45" s="2">
        <v>52.35</v>
      </c>
      <c r="D45" s="1">
        <v>56</v>
      </c>
      <c r="E45" s="1">
        <v>228</v>
      </c>
      <c r="F45" s="1">
        <v>27</v>
      </c>
      <c r="G45" s="1">
        <v>65</v>
      </c>
      <c r="H45" s="1" t="str">
        <f>IF(Table1[[#This Row],[Order quantities]]&gt;Table1[[#This Row],[Availability]], "High Risk", "Low Risk")</f>
        <v>High Risk</v>
      </c>
      <c r="I45" s="1">
        <v>3</v>
      </c>
      <c r="J45" s="1" t="s">
        <v>23</v>
      </c>
      <c r="K45" s="4">
        <v>7.0740388269999999</v>
      </c>
      <c r="L45" s="1" t="s">
        <v>24</v>
      </c>
      <c r="M45" s="1" t="s">
        <v>55</v>
      </c>
      <c r="N45" s="1">
        <v>12</v>
      </c>
      <c r="O45" s="1">
        <v>811</v>
      </c>
      <c r="P45" s="1">
        <v>5</v>
      </c>
      <c r="Q45" s="4">
        <v>10.439601939999999</v>
      </c>
      <c r="R45" s="1" t="s">
        <v>51</v>
      </c>
      <c r="S45" s="3">
        <v>2.5213722569999999</v>
      </c>
      <c r="T45" s="1" t="s">
        <v>47</v>
      </c>
      <c r="U45" s="1" t="s">
        <v>28</v>
      </c>
      <c r="V45" s="4">
        <v>142.3351481</v>
      </c>
      <c r="W45" s="8">
        <f>Table1[[#This Row],[Revenue]]-Table1[[#This Row],[Shipping costs]]-Table1[[#This Row],[Manufacturing costs]]</f>
        <v>124.82150733299999</v>
      </c>
    </row>
    <row r="46" spans="1:23" ht="14.25" customHeight="1" x14ac:dyDescent="0.25">
      <c r="A46" s="1" t="s">
        <v>29</v>
      </c>
      <c r="B46" s="1" t="s">
        <v>91</v>
      </c>
      <c r="C46" s="2">
        <v>68.81</v>
      </c>
      <c r="D46" s="1">
        <v>94</v>
      </c>
      <c r="E46" s="1">
        <v>593</v>
      </c>
      <c r="F46" s="1">
        <v>9</v>
      </c>
      <c r="G46" s="1">
        <v>38</v>
      </c>
      <c r="H46" s="1" t="str">
        <f>IF(Table1[[#This Row],[Order quantities]]&gt;Table1[[#This Row],[Availability]], "High Risk", "Low Risk")</f>
        <v>Low Risk</v>
      </c>
      <c r="I46" s="1">
        <v>1</v>
      </c>
      <c r="J46" s="1" t="s">
        <v>23</v>
      </c>
      <c r="K46" s="4">
        <v>4.5640086970000002</v>
      </c>
      <c r="L46" s="1" t="s">
        <v>41</v>
      </c>
      <c r="M46" s="1" t="s">
        <v>33</v>
      </c>
      <c r="N46" s="1">
        <v>2</v>
      </c>
      <c r="O46" s="1">
        <v>427</v>
      </c>
      <c r="P46" s="1">
        <v>20</v>
      </c>
      <c r="Q46" s="4">
        <v>62.932933609999999</v>
      </c>
      <c r="R46" s="1" t="s">
        <v>37</v>
      </c>
      <c r="S46" s="3">
        <v>2.2430031050000001</v>
      </c>
      <c r="T46" s="1" t="s">
        <v>47</v>
      </c>
      <c r="U46" s="1" t="s">
        <v>53</v>
      </c>
      <c r="V46" s="4">
        <v>997.00534770000002</v>
      </c>
      <c r="W46" s="8">
        <f>Table1[[#This Row],[Revenue]]-Table1[[#This Row],[Shipping costs]]-Table1[[#This Row],[Manufacturing costs]]</f>
        <v>929.50840539300009</v>
      </c>
    </row>
    <row r="47" spans="1:23" ht="14.25" customHeight="1" x14ac:dyDescent="0.25">
      <c r="A47" s="1" t="s">
        <v>21</v>
      </c>
      <c r="B47" s="1" t="s">
        <v>92</v>
      </c>
      <c r="C47" s="2">
        <v>63.72</v>
      </c>
      <c r="D47" s="1">
        <v>93</v>
      </c>
      <c r="E47" s="1">
        <v>965</v>
      </c>
      <c r="F47" s="1">
        <v>25</v>
      </c>
      <c r="G47" s="1">
        <v>85</v>
      </c>
      <c r="H47" s="1" t="str">
        <f>IF(Table1[[#This Row],[Order quantities]]&gt;Table1[[#This Row],[Availability]], "High Risk", "Low Risk")</f>
        <v>Low Risk</v>
      </c>
      <c r="I47" s="1">
        <v>7</v>
      </c>
      <c r="J47" s="1" t="s">
        <v>31</v>
      </c>
      <c r="K47" s="4">
        <v>2.1970881900000001</v>
      </c>
      <c r="L47" s="1" t="s">
        <v>32</v>
      </c>
      <c r="M47" s="1" t="s">
        <v>62</v>
      </c>
      <c r="N47" s="1">
        <v>24</v>
      </c>
      <c r="O47" s="1">
        <v>202</v>
      </c>
      <c r="P47" s="1">
        <v>24</v>
      </c>
      <c r="Q47" s="4">
        <v>22.445485609999999</v>
      </c>
      <c r="R47" s="1" t="s">
        <v>34</v>
      </c>
      <c r="S47" s="3">
        <v>4.6699412069999999</v>
      </c>
      <c r="T47" s="1" t="s">
        <v>27</v>
      </c>
      <c r="U47" s="1" t="s">
        <v>28</v>
      </c>
      <c r="V47" s="4">
        <v>903.93997260000003</v>
      </c>
      <c r="W47" s="8">
        <f>Table1[[#This Row],[Revenue]]-Table1[[#This Row],[Shipping costs]]-Table1[[#This Row],[Manufacturing costs]]</f>
        <v>879.2973988</v>
      </c>
    </row>
    <row r="48" spans="1:23" ht="14.25" customHeight="1" x14ac:dyDescent="0.25">
      <c r="A48" s="1" t="s">
        <v>29</v>
      </c>
      <c r="B48" s="1" t="s">
        <v>93</v>
      </c>
      <c r="C48" s="2">
        <v>39.03</v>
      </c>
      <c r="D48" s="1">
        <v>38</v>
      </c>
      <c r="E48" s="1">
        <v>913</v>
      </c>
      <c r="F48" s="1">
        <v>29</v>
      </c>
      <c r="G48" s="1">
        <v>29</v>
      </c>
      <c r="H48" s="1" t="str">
        <f>IF(Table1[[#This Row],[Order quantities]]&gt;Table1[[#This Row],[Availability]], "High Risk", "Low Risk")</f>
        <v>Low Risk</v>
      </c>
      <c r="I48" s="1">
        <v>9</v>
      </c>
      <c r="J48" s="1" t="s">
        <v>31</v>
      </c>
      <c r="K48" s="4">
        <v>2.4286308700000001</v>
      </c>
      <c r="L48" s="1" t="s">
        <v>24</v>
      </c>
      <c r="M48" s="1" t="s">
        <v>62</v>
      </c>
      <c r="N48" s="1">
        <v>23</v>
      </c>
      <c r="O48" s="1">
        <v>162</v>
      </c>
      <c r="P48" s="1">
        <v>23</v>
      </c>
      <c r="Q48" s="4">
        <v>48.351013389999999</v>
      </c>
      <c r="R48" s="1" t="s">
        <v>26</v>
      </c>
      <c r="S48" s="3">
        <v>3.1991137919999999</v>
      </c>
      <c r="T48" s="1" t="s">
        <v>27</v>
      </c>
      <c r="U48" s="1" t="s">
        <v>53</v>
      </c>
      <c r="V48" s="4">
        <v>562.04258170000003</v>
      </c>
      <c r="W48" s="8">
        <f>Table1[[#This Row],[Revenue]]-Table1[[#This Row],[Shipping costs]]-Table1[[#This Row],[Manufacturing costs]]</f>
        <v>511.26293744000003</v>
      </c>
    </row>
    <row r="49" spans="1:23" ht="14.25" customHeight="1" x14ac:dyDescent="0.25">
      <c r="A49" s="1" t="s">
        <v>21</v>
      </c>
      <c r="B49" s="1" t="s">
        <v>94</v>
      </c>
      <c r="C49" s="2">
        <v>15.79</v>
      </c>
      <c r="D49" s="1">
        <v>98</v>
      </c>
      <c r="E49" s="1">
        <v>722</v>
      </c>
      <c r="F49" s="1">
        <v>25</v>
      </c>
      <c r="G49" s="1">
        <v>5</v>
      </c>
      <c r="H49" s="1" t="str">
        <f>IF(Table1[[#This Row],[Order quantities]]&gt;Table1[[#This Row],[Availability]], "High Risk", "Low Risk")</f>
        <v>Low Risk</v>
      </c>
      <c r="I49" s="1">
        <v>8</v>
      </c>
      <c r="J49" s="1" t="s">
        <v>43</v>
      </c>
      <c r="K49" s="4">
        <v>9.5434579559999992</v>
      </c>
      <c r="L49" s="1" t="s">
        <v>32</v>
      </c>
      <c r="M49" s="1" t="s">
        <v>62</v>
      </c>
      <c r="N49" s="1">
        <v>2</v>
      </c>
      <c r="O49" s="1">
        <v>786</v>
      </c>
      <c r="P49" s="1">
        <v>25</v>
      </c>
      <c r="Q49" s="4">
        <v>59.708934759999998</v>
      </c>
      <c r="R49" s="1" t="s">
        <v>26</v>
      </c>
      <c r="S49" s="3">
        <v>1.5126494420000001</v>
      </c>
      <c r="T49" s="1" t="s">
        <v>27</v>
      </c>
      <c r="U49" s="1" t="s">
        <v>39</v>
      </c>
      <c r="V49" s="4">
        <v>842.78915640000002</v>
      </c>
      <c r="W49" s="8">
        <f>Table1[[#This Row],[Revenue]]-Table1[[#This Row],[Shipping costs]]-Table1[[#This Row],[Manufacturing costs]]</f>
        <v>773.53676368399999</v>
      </c>
    </row>
    <row r="50" spans="1:23" ht="14.25" customHeight="1" x14ac:dyDescent="0.25">
      <c r="A50" s="1" t="s">
        <v>29</v>
      </c>
      <c r="B50" s="1" t="s">
        <v>95</v>
      </c>
      <c r="C50" s="2">
        <v>54.43</v>
      </c>
      <c r="D50" s="1">
        <v>58</v>
      </c>
      <c r="E50" s="1">
        <v>548</v>
      </c>
      <c r="F50" s="1">
        <v>22</v>
      </c>
      <c r="G50" s="1">
        <v>92</v>
      </c>
      <c r="H50" s="1" t="str">
        <f>IF(Table1[[#This Row],[Order quantities]]&gt;Table1[[#This Row],[Availability]], "High Risk", "Low Risk")</f>
        <v>High Risk</v>
      </c>
      <c r="I50" s="1">
        <v>4</v>
      </c>
      <c r="J50" s="1" t="s">
        <v>37</v>
      </c>
      <c r="K50" s="4">
        <v>9.1633776440000005</v>
      </c>
      <c r="L50" s="1" t="s">
        <v>44</v>
      </c>
      <c r="M50" s="1" t="s">
        <v>49</v>
      </c>
      <c r="N50" s="1">
        <v>19</v>
      </c>
      <c r="O50" s="1">
        <v>540</v>
      </c>
      <c r="P50" s="1">
        <v>10</v>
      </c>
      <c r="Q50" s="4">
        <v>34.697054889999997</v>
      </c>
      <c r="R50" s="1" t="s">
        <v>51</v>
      </c>
      <c r="S50" s="3">
        <v>1.5053971610000001</v>
      </c>
      <c r="T50" s="1" t="s">
        <v>35</v>
      </c>
      <c r="U50" s="1" t="s">
        <v>28</v>
      </c>
      <c r="V50" s="4">
        <v>941.31907269999999</v>
      </c>
      <c r="W50" s="8">
        <f>Table1[[#This Row],[Revenue]]-Table1[[#This Row],[Shipping costs]]-Table1[[#This Row],[Manufacturing costs]]</f>
        <v>897.45864016600001</v>
      </c>
    </row>
    <row r="51" spans="1:23" ht="14.25" customHeight="1" x14ac:dyDescent="0.25">
      <c r="A51" s="1" t="s">
        <v>21</v>
      </c>
      <c r="B51" s="1" t="s">
        <v>96</v>
      </c>
      <c r="C51" s="2">
        <v>78.37</v>
      </c>
      <c r="D51" s="1">
        <v>16</v>
      </c>
      <c r="E51" s="1">
        <v>351</v>
      </c>
      <c r="F51" s="1">
        <v>6</v>
      </c>
      <c r="G51" s="1">
        <v>21</v>
      </c>
      <c r="H51" s="1" t="str">
        <f>IF(Table1[[#This Row],[Order quantities]]&gt;Table1[[#This Row],[Availability]], "High Risk", "Low Risk")</f>
        <v>High Risk</v>
      </c>
      <c r="I51" s="1">
        <v>7</v>
      </c>
      <c r="J51" s="1" t="s">
        <v>43</v>
      </c>
      <c r="K51" s="4">
        <v>9.9237949820000004</v>
      </c>
      <c r="L51" s="1" t="s">
        <v>32</v>
      </c>
      <c r="M51" s="1" t="s">
        <v>46</v>
      </c>
      <c r="N51" s="1">
        <v>8</v>
      </c>
      <c r="O51" s="1">
        <v>392</v>
      </c>
      <c r="P51" s="1">
        <v>17</v>
      </c>
      <c r="Q51" s="4">
        <v>46.002667240000001</v>
      </c>
      <c r="R51" s="1" t="s">
        <v>34</v>
      </c>
      <c r="S51" s="3">
        <v>1.53879872</v>
      </c>
      <c r="T51" s="1" t="s">
        <v>35</v>
      </c>
      <c r="U51" s="1" t="s">
        <v>28</v>
      </c>
      <c r="V51" s="4">
        <v>856.83145939999997</v>
      </c>
      <c r="W51" s="8">
        <f>Table1[[#This Row],[Revenue]]-Table1[[#This Row],[Shipping costs]]-Table1[[#This Row],[Manufacturing costs]]</f>
        <v>800.90499717799992</v>
      </c>
    </row>
    <row r="52" spans="1:23" ht="14.25" customHeight="1" x14ac:dyDescent="0.25">
      <c r="A52" s="1" t="s">
        <v>29</v>
      </c>
      <c r="B52" s="1" t="s">
        <v>97</v>
      </c>
      <c r="C52" s="2">
        <v>54.42</v>
      </c>
      <c r="D52" s="1">
        <v>13</v>
      </c>
      <c r="E52" s="1">
        <v>311</v>
      </c>
      <c r="F52" s="1">
        <v>5</v>
      </c>
      <c r="G52" s="1">
        <v>71</v>
      </c>
      <c r="H52" s="1" t="str">
        <f>IF(Table1[[#This Row],[Order quantities]]&gt;Table1[[#This Row],[Availability]], "High Risk", "Low Risk")</f>
        <v>High Risk</v>
      </c>
      <c r="I52" s="1">
        <v>5</v>
      </c>
      <c r="J52" s="1" t="s">
        <v>31</v>
      </c>
      <c r="K52" s="4">
        <v>2.87483851</v>
      </c>
      <c r="L52" s="1" t="s">
        <v>44</v>
      </c>
      <c r="M52" s="1" t="s">
        <v>55</v>
      </c>
      <c r="N52" s="1">
        <v>26</v>
      </c>
      <c r="O52" s="1">
        <v>837</v>
      </c>
      <c r="P52" s="1">
        <v>29</v>
      </c>
      <c r="Q52" s="4">
        <v>80.050530620000004</v>
      </c>
      <c r="R52" s="1" t="s">
        <v>34</v>
      </c>
      <c r="S52" s="3">
        <v>2.0580327070000002</v>
      </c>
      <c r="T52" s="1" t="s">
        <v>27</v>
      </c>
      <c r="U52" s="1" t="s">
        <v>39</v>
      </c>
      <c r="V52" s="4">
        <v>679.31131240000002</v>
      </c>
      <c r="W52" s="8">
        <f>Table1[[#This Row],[Revenue]]-Table1[[#This Row],[Shipping costs]]-Table1[[#This Row],[Manufacturing costs]]</f>
        <v>596.38594326999998</v>
      </c>
    </row>
    <row r="53" spans="1:23" ht="14.25" customHeight="1" x14ac:dyDescent="0.25">
      <c r="A53" s="1" t="s">
        <v>29</v>
      </c>
      <c r="B53" s="1" t="s">
        <v>98</v>
      </c>
      <c r="C53" s="2">
        <v>85.96</v>
      </c>
      <c r="D53" s="1">
        <v>30</v>
      </c>
      <c r="E53" s="1">
        <v>872</v>
      </c>
      <c r="F53" s="1">
        <v>25</v>
      </c>
      <c r="G53" s="1">
        <v>67</v>
      </c>
      <c r="H53" s="1" t="str">
        <f>IF(Table1[[#This Row],[Order quantities]]&gt;Table1[[#This Row],[Availability]], "High Risk", "Low Risk")</f>
        <v>High Risk</v>
      </c>
      <c r="I53" s="1">
        <v>7</v>
      </c>
      <c r="J53" s="1" t="s">
        <v>23</v>
      </c>
      <c r="K53" s="4">
        <v>4.1989540359999999</v>
      </c>
      <c r="L53" s="1" t="s">
        <v>24</v>
      </c>
      <c r="M53" s="1" t="s">
        <v>49</v>
      </c>
      <c r="N53" s="1">
        <v>29</v>
      </c>
      <c r="O53" s="1">
        <v>106</v>
      </c>
      <c r="P53" s="1">
        <v>30</v>
      </c>
      <c r="Q53" s="4">
        <v>94.709322470000004</v>
      </c>
      <c r="R53" s="1" t="s">
        <v>34</v>
      </c>
      <c r="S53" s="3">
        <v>4.2769090460000001</v>
      </c>
      <c r="T53" s="1" t="s">
        <v>35</v>
      </c>
      <c r="U53" s="1" t="s">
        <v>39</v>
      </c>
      <c r="V53" s="4">
        <v>648.37334710000005</v>
      </c>
      <c r="W53" s="8">
        <f>Table1[[#This Row],[Revenue]]-Table1[[#This Row],[Shipping costs]]-Table1[[#This Row],[Manufacturing costs]]</f>
        <v>549.46507059400005</v>
      </c>
    </row>
    <row r="54" spans="1:23" ht="14.25" customHeight="1" x14ac:dyDescent="0.25">
      <c r="A54" s="1" t="s">
        <v>29</v>
      </c>
      <c r="B54" s="1" t="s">
        <v>99</v>
      </c>
      <c r="C54" s="2">
        <v>57.43</v>
      </c>
      <c r="D54" s="1">
        <v>23</v>
      </c>
      <c r="E54" s="1">
        <v>58</v>
      </c>
      <c r="F54" s="1">
        <v>10</v>
      </c>
      <c r="G54" s="1">
        <v>47</v>
      </c>
      <c r="H54" s="1" t="str">
        <f>IF(Table1[[#This Row],[Order quantities]]&gt;Table1[[#This Row],[Availability]], "High Risk", "Low Risk")</f>
        <v>High Risk</v>
      </c>
      <c r="I54" s="1">
        <v>1</v>
      </c>
      <c r="J54" s="1" t="s">
        <v>31</v>
      </c>
      <c r="K54" s="4">
        <v>7.0229712690000001</v>
      </c>
      <c r="L54" s="1" t="s">
        <v>41</v>
      </c>
      <c r="M54" s="1" t="s">
        <v>55</v>
      </c>
      <c r="N54" s="1">
        <v>3</v>
      </c>
      <c r="O54" s="1">
        <v>738</v>
      </c>
      <c r="P54" s="1">
        <v>7</v>
      </c>
      <c r="Q54" s="4">
        <v>87.569229800000002</v>
      </c>
      <c r="R54" s="1" t="s">
        <v>34</v>
      </c>
      <c r="S54" s="3">
        <v>2.5514595849999999</v>
      </c>
      <c r="T54" s="1" t="s">
        <v>35</v>
      </c>
      <c r="U54" s="1" t="s">
        <v>39</v>
      </c>
      <c r="V54" s="4">
        <v>520.62155949999999</v>
      </c>
      <c r="W54" s="8">
        <f>Table1[[#This Row],[Revenue]]-Table1[[#This Row],[Shipping costs]]-Table1[[#This Row],[Manufacturing costs]]</f>
        <v>426.02935843099999</v>
      </c>
    </row>
    <row r="55" spans="1:23" ht="14.25" customHeight="1" x14ac:dyDescent="0.25">
      <c r="A55" s="1" t="s">
        <v>29</v>
      </c>
      <c r="B55" s="1" t="s">
        <v>100</v>
      </c>
      <c r="C55" s="2">
        <v>58.29</v>
      </c>
      <c r="D55" s="1">
        <v>98</v>
      </c>
      <c r="E55" s="1">
        <v>642</v>
      </c>
      <c r="F55" s="1">
        <v>8</v>
      </c>
      <c r="G55" s="1">
        <v>84</v>
      </c>
      <c r="H55" s="1" t="str">
        <f>IF(Table1[[#This Row],[Order quantities]]&gt;Table1[[#This Row],[Availability]], "High Risk", "Low Risk")</f>
        <v>Low Risk</v>
      </c>
      <c r="I55" s="1">
        <v>1</v>
      </c>
      <c r="J55" s="1" t="s">
        <v>23</v>
      </c>
      <c r="K55" s="4">
        <v>5.3542228590000001</v>
      </c>
      <c r="L55" s="1" t="s">
        <v>44</v>
      </c>
      <c r="M55" s="1" t="s">
        <v>33</v>
      </c>
      <c r="N55" s="1">
        <v>26</v>
      </c>
      <c r="O55" s="1">
        <v>191</v>
      </c>
      <c r="P55" s="1">
        <v>1</v>
      </c>
      <c r="Q55" s="4">
        <v>60.785515160000003</v>
      </c>
      <c r="R55" s="1" t="s">
        <v>51</v>
      </c>
      <c r="S55" s="3">
        <v>3.4266141270000001</v>
      </c>
      <c r="T55" s="1" t="s">
        <v>35</v>
      </c>
      <c r="U55" s="1" t="s">
        <v>39</v>
      </c>
      <c r="V55" s="4">
        <v>663.83707600000002</v>
      </c>
      <c r="W55" s="8">
        <f>Table1[[#This Row],[Revenue]]-Table1[[#This Row],[Shipping costs]]-Table1[[#This Row],[Manufacturing costs]]</f>
        <v>597.69733798100003</v>
      </c>
    </row>
    <row r="56" spans="1:23" ht="14.25" customHeight="1" x14ac:dyDescent="0.25">
      <c r="A56" s="1" t="s">
        <v>29</v>
      </c>
      <c r="B56" s="1" t="s">
        <v>101</v>
      </c>
      <c r="C56" s="2">
        <v>88.28</v>
      </c>
      <c r="D56" s="1">
        <v>59</v>
      </c>
      <c r="E56" s="1">
        <v>923</v>
      </c>
      <c r="F56" s="1">
        <v>7</v>
      </c>
      <c r="G56" s="1">
        <v>83</v>
      </c>
      <c r="H56" s="1" t="str">
        <f>IF(Table1[[#This Row],[Order quantities]]&gt;Table1[[#This Row],[Availability]], "High Risk", "Low Risk")</f>
        <v>High Risk</v>
      </c>
      <c r="I56" s="1">
        <v>3</v>
      </c>
      <c r="J56" s="1" t="s">
        <v>43</v>
      </c>
      <c r="K56" s="4">
        <v>4.7655057999999997</v>
      </c>
      <c r="L56" s="1" t="s">
        <v>38</v>
      </c>
      <c r="M56" s="1" t="s">
        <v>46</v>
      </c>
      <c r="N56" s="1">
        <v>14</v>
      </c>
      <c r="O56" s="1">
        <v>289</v>
      </c>
      <c r="P56" s="1">
        <v>7</v>
      </c>
      <c r="Q56" s="4">
        <v>46.926352270000002</v>
      </c>
      <c r="R56" s="1" t="s">
        <v>51</v>
      </c>
      <c r="S56" s="3">
        <v>2.0206419269999998</v>
      </c>
      <c r="T56" s="1" t="s">
        <v>47</v>
      </c>
      <c r="U56" s="1" t="s">
        <v>28</v>
      </c>
      <c r="V56" s="4">
        <v>815.69492790000004</v>
      </c>
      <c r="W56" s="8">
        <f>Table1[[#This Row],[Revenue]]-Table1[[#This Row],[Shipping costs]]-Table1[[#This Row],[Manufacturing costs]]</f>
        <v>764.00306982999996</v>
      </c>
    </row>
    <row r="57" spans="1:23" ht="14.25" customHeight="1" x14ac:dyDescent="0.25">
      <c r="A57" s="1" t="s">
        <v>29</v>
      </c>
      <c r="B57" s="1" t="s">
        <v>102</v>
      </c>
      <c r="C57" s="2">
        <v>43.33</v>
      </c>
      <c r="D57" s="1">
        <v>44</v>
      </c>
      <c r="E57" s="1">
        <v>713</v>
      </c>
      <c r="F57" s="1">
        <v>7</v>
      </c>
      <c r="G57" s="1">
        <v>35</v>
      </c>
      <c r="H57" s="1" t="str">
        <f>IF(Table1[[#This Row],[Order quantities]]&gt;Table1[[#This Row],[Availability]], "High Risk", "Low Risk")</f>
        <v>Low Risk</v>
      </c>
      <c r="I57" s="1">
        <v>2</v>
      </c>
      <c r="J57" s="1" t="s">
        <v>43</v>
      </c>
      <c r="K57" s="4">
        <v>4.2203012439999998</v>
      </c>
      <c r="L57" s="1" t="s">
        <v>41</v>
      </c>
      <c r="M57" s="1" t="s">
        <v>49</v>
      </c>
      <c r="N57" s="1">
        <v>25</v>
      </c>
      <c r="O57" s="1">
        <v>970</v>
      </c>
      <c r="P57" s="1">
        <v>26</v>
      </c>
      <c r="Q57" s="4">
        <v>39.966095289999998</v>
      </c>
      <c r="R57" s="1" t="s">
        <v>34</v>
      </c>
      <c r="S57" s="3">
        <v>1.3916666550000001</v>
      </c>
      <c r="T57" s="1" t="s">
        <v>47</v>
      </c>
      <c r="U57" s="1" t="s">
        <v>53</v>
      </c>
      <c r="V57" s="4">
        <v>972.13386370000001</v>
      </c>
      <c r="W57" s="8">
        <f>Table1[[#This Row],[Revenue]]-Table1[[#This Row],[Shipping costs]]-Table1[[#This Row],[Manufacturing costs]]</f>
        <v>927.94746716600002</v>
      </c>
    </row>
    <row r="58" spans="1:23" ht="14.25" customHeight="1" x14ac:dyDescent="0.25">
      <c r="A58" s="1" t="s">
        <v>21</v>
      </c>
      <c r="B58" s="1" t="s">
        <v>103</v>
      </c>
      <c r="C58" s="2">
        <v>17.73</v>
      </c>
      <c r="D58" s="1">
        <v>97</v>
      </c>
      <c r="E58" s="1">
        <v>754</v>
      </c>
      <c r="F58" s="1">
        <v>6</v>
      </c>
      <c r="G58" s="1">
        <v>68</v>
      </c>
      <c r="H58" s="1" t="str">
        <f>IF(Table1[[#This Row],[Order quantities]]&gt;Table1[[#This Row],[Availability]], "High Risk", "Low Risk")</f>
        <v>Low Risk</v>
      </c>
      <c r="I58" s="1">
        <v>2</v>
      </c>
      <c r="J58" s="1" t="s">
        <v>31</v>
      </c>
      <c r="K58" s="4">
        <v>6.3440256870000002</v>
      </c>
      <c r="L58" s="1" t="s">
        <v>38</v>
      </c>
      <c r="M58" s="1" t="s">
        <v>49</v>
      </c>
      <c r="N58" s="1">
        <v>16</v>
      </c>
      <c r="O58" s="1">
        <v>575</v>
      </c>
      <c r="P58" s="1">
        <v>24</v>
      </c>
      <c r="Q58" s="4">
        <v>21.246090949999999</v>
      </c>
      <c r="R58" s="1" t="s">
        <v>51</v>
      </c>
      <c r="S58" s="3">
        <v>4.7777367880000003</v>
      </c>
      <c r="T58" s="1" t="s">
        <v>35</v>
      </c>
      <c r="U58" s="1" t="s">
        <v>28</v>
      </c>
      <c r="V58" s="4">
        <v>520.55862239999999</v>
      </c>
      <c r="W58" s="8">
        <f>Table1[[#This Row],[Revenue]]-Table1[[#This Row],[Shipping costs]]-Table1[[#This Row],[Manufacturing costs]]</f>
        <v>492.968505763</v>
      </c>
    </row>
    <row r="59" spans="1:23" ht="14.25" customHeight="1" x14ac:dyDescent="0.25">
      <c r="A59" s="1" t="s">
        <v>21</v>
      </c>
      <c r="B59" s="1" t="s">
        <v>104</v>
      </c>
      <c r="C59" s="2">
        <v>7.73</v>
      </c>
      <c r="D59" s="1">
        <v>2</v>
      </c>
      <c r="E59" s="1">
        <v>34</v>
      </c>
      <c r="F59" s="1">
        <v>21</v>
      </c>
      <c r="G59" s="1">
        <v>69</v>
      </c>
      <c r="H59" s="1" t="str">
        <f>IF(Table1[[#This Row],[Order quantities]]&gt;Table1[[#This Row],[Availability]], "High Risk", "Low Risk")</f>
        <v>High Risk</v>
      </c>
      <c r="I59" s="1">
        <v>7</v>
      </c>
      <c r="J59" s="1" t="s">
        <v>43</v>
      </c>
      <c r="K59" s="4">
        <v>6.1803408580000001</v>
      </c>
      <c r="L59" s="1" t="s">
        <v>38</v>
      </c>
      <c r="M59" s="1" t="s">
        <v>46</v>
      </c>
      <c r="N59" s="1">
        <v>1</v>
      </c>
      <c r="O59" s="1">
        <v>610</v>
      </c>
      <c r="P59" s="1">
        <v>11</v>
      </c>
      <c r="Q59" s="4">
        <v>19.589612249999998</v>
      </c>
      <c r="R59" s="1" t="s">
        <v>26</v>
      </c>
      <c r="S59" s="3">
        <v>3.057548111</v>
      </c>
      <c r="T59" s="1" t="s">
        <v>27</v>
      </c>
      <c r="U59" s="1" t="s">
        <v>28</v>
      </c>
      <c r="V59" s="4">
        <v>616.28788269999995</v>
      </c>
      <c r="W59" s="8">
        <f>Table1[[#This Row],[Revenue]]-Table1[[#This Row],[Shipping costs]]-Table1[[#This Row],[Manufacturing costs]]</f>
        <v>590.51792959199997</v>
      </c>
    </row>
    <row r="60" spans="1:23" ht="14.25" customHeight="1" x14ac:dyDescent="0.25">
      <c r="A60" s="1" t="s">
        <v>21</v>
      </c>
      <c r="B60" s="1" t="s">
        <v>105</v>
      </c>
      <c r="C60" s="2">
        <v>76.739999999999995</v>
      </c>
      <c r="D60" s="1">
        <v>36</v>
      </c>
      <c r="E60" s="1">
        <v>444</v>
      </c>
      <c r="F60" s="1">
        <v>29</v>
      </c>
      <c r="G60" s="1">
        <v>1</v>
      </c>
      <c r="H60" s="1" t="str">
        <f>IF(Table1[[#This Row],[Order quantities]]&gt;Table1[[#This Row],[Availability]], "High Risk", "Low Risk")</f>
        <v>Low Risk</v>
      </c>
      <c r="I60" s="1">
        <v>2</v>
      </c>
      <c r="J60" s="1" t="s">
        <v>23</v>
      </c>
      <c r="K60" s="4">
        <v>2.453120507</v>
      </c>
      <c r="L60" s="1" t="s">
        <v>37</v>
      </c>
      <c r="M60" s="1" t="s">
        <v>62</v>
      </c>
      <c r="N60" s="1">
        <v>21</v>
      </c>
      <c r="O60" s="1">
        <v>561</v>
      </c>
      <c r="P60" s="1">
        <v>9</v>
      </c>
      <c r="Q60" s="4">
        <v>71.952186240000003</v>
      </c>
      <c r="R60" s="1" t="s">
        <v>51</v>
      </c>
      <c r="S60" s="3">
        <v>4.6763615590000001</v>
      </c>
      <c r="T60" s="1" t="s">
        <v>47</v>
      </c>
      <c r="U60" s="1" t="s">
        <v>28</v>
      </c>
      <c r="V60" s="4">
        <v>500.32494559999998</v>
      </c>
      <c r="W60" s="8">
        <f>Table1[[#This Row],[Revenue]]-Table1[[#This Row],[Shipping costs]]-Table1[[#This Row],[Manufacturing costs]]</f>
        <v>425.91963885299998</v>
      </c>
    </row>
    <row r="61" spans="1:23" ht="14.25" customHeight="1" x14ac:dyDescent="0.25">
      <c r="A61" s="1" t="s">
        <v>21</v>
      </c>
      <c r="B61" s="1" t="s">
        <v>106</v>
      </c>
      <c r="C61" s="2">
        <v>63.93</v>
      </c>
      <c r="D61" s="1">
        <v>42</v>
      </c>
      <c r="E61" s="1">
        <v>92</v>
      </c>
      <c r="F61" s="1">
        <v>20</v>
      </c>
      <c r="G61" s="1">
        <v>68</v>
      </c>
      <c r="H61" s="1" t="str">
        <f>IF(Table1[[#This Row],[Order quantities]]&gt;Table1[[#This Row],[Availability]], "High Risk", "Low Risk")</f>
        <v>High Risk</v>
      </c>
      <c r="I61" s="1">
        <v>4</v>
      </c>
      <c r="J61" s="1" t="s">
        <v>23</v>
      </c>
      <c r="K61" s="4">
        <v>5.2456585379999998</v>
      </c>
      <c r="L61" s="1" t="s">
        <v>41</v>
      </c>
      <c r="M61" s="1" t="s">
        <v>46</v>
      </c>
      <c r="N61" s="1">
        <v>3</v>
      </c>
      <c r="O61" s="1">
        <v>152</v>
      </c>
      <c r="P61" s="1">
        <v>12</v>
      </c>
      <c r="Q61" s="4">
        <v>33.381497459999999</v>
      </c>
      <c r="R61" s="1" t="s">
        <v>51</v>
      </c>
      <c r="S61" s="3">
        <v>1.0967237110000001</v>
      </c>
      <c r="T61" s="1" t="s">
        <v>35</v>
      </c>
      <c r="U61" s="1" t="s">
        <v>28</v>
      </c>
      <c r="V61" s="4">
        <v>701.63975889999995</v>
      </c>
      <c r="W61" s="8">
        <f>Table1[[#This Row],[Revenue]]-Table1[[#This Row],[Shipping costs]]-Table1[[#This Row],[Manufacturing costs]]</f>
        <v>663.01260290199991</v>
      </c>
    </row>
    <row r="62" spans="1:23" ht="14.25" customHeight="1" x14ac:dyDescent="0.25">
      <c r="A62" s="1" t="s">
        <v>21</v>
      </c>
      <c r="B62" s="1" t="s">
        <v>107</v>
      </c>
      <c r="C62" s="2">
        <v>71.89</v>
      </c>
      <c r="D62" s="1">
        <v>39</v>
      </c>
      <c r="E62" s="1">
        <v>949</v>
      </c>
      <c r="F62" s="1">
        <v>3</v>
      </c>
      <c r="G62" s="1">
        <v>12</v>
      </c>
      <c r="H62" s="1" t="str">
        <f>IF(Table1[[#This Row],[Order quantities]]&gt;Table1[[#This Row],[Availability]], "High Risk", "Low Risk")</f>
        <v>Low Risk</v>
      </c>
      <c r="I62" s="1">
        <v>2</v>
      </c>
      <c r="J62" s="1" t="s">
        <v>31</v>
      </c>
      <c r="K62" s="4">
        <v>5.9812459860000002</v>
      </c>
      <c r="L62" s="1" t="s">
        <v>24</v>
      </c>
      <c r="M62" s="1" t="s">
        <v>33</v>
      </c>
      <c r="N62" s="1">
        <v>22</v>
      </c>
      <c r="O62" s="1">
        <v>853</v>
      </c>
      <c r="P62" s="1">
        <v>3</v>
      </c>
      <c r="Q62" s="4">
        <v>32.919551779999999</v>
      </c>
      <c r="R62" s="1" t="s">
        <v>34</v>
      </c>
      <c r="S62" s="3">
        <v>0.81978140300000002</v>
      </c>
      <c r="T62" s="1" t="s">
        <v>35</v>
      </c>
      <c r="U62" s="1" t="s">
        <v>39</v>
      </c>
      <c r="V62" s="4">
        <v>666.92845369999998</v>
      </c>
      <c r="W62" s="8">
        <f>Table1[[#This Row],[Revenue]]-Table1[[#This Row],[Shipping costs]]-Table1[[#This Row],[Manufacturing costs]]</f>
        <v>628.02765593399999</v>
      </c>
    </row>
    <row r="63" spans="1:23" ht="14.25" customHeight="1" x14ac:dyDescent="0.25">
      <c r="A63" s="1" t="s">
        <v>21</v>
      </c>
      <c r="B63" s="1" t="s">
        <v>108</v>
      </c>
      <c r="C63" s="2">
        <v>25.23</v>
      </c>
      <c r="D63" s="1">
        <v>89</v>
      </c>
      <c r="E63" s="1">
        <v>958</v>
      </c>
      <c r="F63" s="1">
        <v>19</v>
      </c>
      <c r="G63" s="1">
        <v>60</v>
      </c>
      <c r="H63" s="1" t="str">
        <f>IF(Table1[[#This Row],[Order quantities]]&gt;Table1[[#This Row],[Availability]], "High Risk", "Low Risk")</f>
        <v>Low Risk</v>
      </c>
      <c r="I63" s="1">
        <v>6</v>
      </c>
      <c r="J63" s="1" t="s">
        <v>31</v>
      </c>
      <c r="K63" s="4">
        <v>6.132582449</v>
      </c>
      <c r="L63" s="1" t="s">
        <v>32</v>
      </c>
      <c r="M63" s="1" t="s">
        <v>49</v>
      </c>
      <c r="N63" s="1">
        <v>26</v>
      </c>
      <c r="O63" s="1">
        <v>585</v>
      </c>
      <c r="P63" s="1">
        <v>4</v>
      </c>
      <c r="Q63" s="4">
        <v>99.837554900000001</v>
      </c>
      <c r="R63" s="1" t="s">
        <v>34</v>
      </c>
      <c r="S63" s="3">
        <v>4.2935322449999997</v>
      </c>
      <c r="T63" s="1" t="s">
        <v>35</v>
      </c>
      <c r="U63" s="1" t="s">
        <v>28</v>
      </c>
      <c r="V63" s="4">
        <v>116.0504112</v>
      </c>
      <c r="W63" s="8">
        <f>Table1[[#This Row],[Revenue]]-Table1[[#This Row],[Shipping costs]]-Table1[[#This Row],[Manufacturing costs]]</f>
        <v>10.080273851000001</v>
      </c>
    </row>
    <row r="64" spans="1:23" ht="14.25" customHeight="1" x14ac:dyDescent="0.25">
      <c r="A64" s="1" t="s">
        <v>29</v>
      </c>
      <c r="B64" s="1" t="s">
        <v>109</v>
      </c>
      <c r="C64" s="2">
        <v>17.96</v>
      </c>
      <c r="D64" s="1">
        <v>54</v>
      </c>
      <c r="E64" s="1">
        <v>206</v>
      </c>
      <c r="F64" s="1">
        <v>22</v>
      </c>
      <c r="G64" s="1">
        <v>27</v>
      </c>
      <c r="H64" s="1" t="str">
        <f>IF(Table1[[#This Row],[Order quantities]]&gt;Table1[[#This Row],[Availability]], "High Risk", "Low Risk")</f>
        <v>Low Risk</v>
      </c>
      <c r="I64" s="1">
        <v>8</v>
      </c>
      <c r="J64" s="1" t="s">
        <v>23</v>
      </c>
      <c r="K64" s="4">
        <v>2.8909647359999999</v>
      </c>
      <c r="L64" s="1" t="s">
        <v>44</v>
      </c>
      <c r="M64" s="1" t="s">
        <v>49</v>
      </c>
      <c r="N64" s="1">
        <v>18</v>
      </c>
      <c r="O64" s="1">
        <v>743</v>
      </c>
      <c r="P64" s="1">
        <v>4</v>
      </c>
      <c r="Q64" s="4">
        <v>26.913336210000001</v>
      </c>
      <c r="R64" s="1" t="s">
        <v>51</v>
      </c>
      <c r="S64" s="3">
        <v>3.436494342</v>
      </c>
      <c r="T64" s="1" t="s">
        <v>35</v>
      </c>
      <c r="U64" s="1" t="s">
        <v>28</v>
      </c>
      <c r="V64" s="4">
        <v>587.04540320000001</v>
      </c>
      <c r="W64" s="8">
        <f>Table1[[#This Row],[Revenue]]-Table1[[#This Row],[Shipping costs]]-Table1[[#This Row],[Manufacturing costs]]</f>
        <v>557.241102254</v>
      </c>
    </row>
    <row r="65" spans="1:23" ht="14.25" customHeight="1" x14ac:dyDescent="0.25">
      <c r="A65" s="1" t="s">
        <v>21</v>
      </c>
      <c r="B65" s="1" t="s">
        <v>110</v>
      </c>
      <c r="C65" s="2">
        <v>6.38</v>
      </c>
      <c r="D65" s="1">
        <v>86</v>
      </c>
      <c r="E65" s="1">
        <v>352</v>
      </c>
      <c r="F65" s="1">
        <v>15</v>
      </c>
      <c r="G65" s="1">
        <v>56</v>
      </c>
      <c r="H65" s="1" t="str">
        <f>IF(Table1[[#This Row],[Order quantities]]&gt;Table1[[#This Row],[Availability]], "High Risk", "Low Risk")</f>
        <v>Low Risk</v>
      </c>
      <c r="I65" s="1">
        <v>4</v>
      </c>
      <c r="J65" s="1" t="s">
        <v>23</v>
      </c>
      <c r="K65" s="4">
        <v>7.6804425299999997</v>
      </c>
      <c r="L65" s="1" t="s">
        <v>38</v>
      </c>
      <c r="M65" s="1" t="s">
        <v>25</v>
      </c>
      <c r="N65" s="1">
        <v>9</v>
      </c>
      <c r="O65" s="1">
        <v>589</v>
      </c>
      <c r="P65" s="1">
        <v>28</v>
      </c>
      <c r="Q65" s="4">
        <v>23.325378350000001</v>
      </c>
      <c r="R65" s="1" t="s">
        <v>34</v>
      </c>
      <c r="S65" s="3">
        <v>1.014234646</v>
      </c>
      <c r="T65" s="1" t="s">
        <v>27</v>
      </c>
      <c r="U65" s="1" t="s">
        <v>39</v>
      </c>
      <c r="V65" s="4">
        <v>179.63820609999999</v>
      </c>
      <c r="W65" s="8">
        <f>Table1[[#This Row],[Revenue]]-Table1[[#This Row],[Shipping costs]]-Table1[[#This Row],[Manufacturing costs]]</f>
        <v>148.63238522</v>
      </c>
    </row>
    <row r="66" spans="1:23" ht="14.25" customHeight="1" x14ac:dyDescent="0.25">
      <c r="A66" s="1" t="s">
        <v>21</v>
      </c>
      <c r="B66" s="1" t="s">
        <v>111</v>
      </c>
      <c r="C66" s="2">
        <v>38.31</v>
      </c>
      <c r="D66" s="1">
        <v>38</v>
      </c>
      <c r="E66" s="1">
        <v>902</v>
      </c>
      <c r="F66" s="1">
        <v>4</v>
      </c>
      <c r="G66" s="1">
        <v>23</v>
      </c>
      <c r="H66" s="1" t="str">
        <f>IF(Table1[[#This Row],[Order quantities]]&gt;Table1[[#This Row],[Availability]], "High Risk", "Low Risk")</f>
        <v>Low Risk</v>
      </c>
      <c r="I66" s="1">
        <v>5</v>
      </c>
      <c r="J66" s="1" t="s">
        <v>31</v>
      </c>
      <c r="K66" s="4">
        <v>1.2267918529999999</v>
      </c>
      <c r="L66" s="1" t="s">
        <v>24</v>
      </c>
      <c r="M66" s="1" t="s">
        <v>46</v>
      </c>
      <c r="N66" s="1">
        <v>6</v>
      </c>
      <c r="O66" s="1">
        <v>463</v>
      </c>
      <c r="P66" s="1">
        <v>25</v>
      </c>
      <c r="Q66" s="4">
        <v>18.881670499999998</v>
      </c>
      <c r="R66" s="1" t="s">
        <v>34</v>
      </c>
      <c r="S66" s="3">
        <v>1.4198625330000001</v>
      </c>
      <c r="T66" s="1" t="s">
        <v>27</v>
      </c>
      <c r="U66" s="1" t="s">
        <v>53</v>
      </c>
      <c r="V66" s="4">
        <v>123.7452562</v>
      </c>
      <c r="W66" s="8">
        <f>Table1[[#This Row],[Revenue]]-Table1[[#This Row],[Shipping costs]]-Table1[[#This Row],[Manufacturing costs]]</f>
        <v>103.63679384700001</v>
      </c>
    </row>
    <row r="67" spans="1:23" ht="14.25" customHeight="1" x14ac:dyDescent="0.25">
      <c r="A67" s="1" t="s">
        <v>29</v>
      </c>
      <c r="B67" s="1" t="s">
        <v>112</v>
      </c>
      <c r="C67" s="2">
        <v>61.04</v>
      </c>
      <c r="D67" s="1">
        <v>14</v>
      </c>
      <c r="E67" s="1">
        <v>331</v>
      </c>
      <c r="F67" s="1">
        <v>28</v>
      </c>
      <c r="G67" s="1">
        <v>25</v>
      </c>
      <c r="H67" s="1" t="str">
        <f>IF(Table1[[#This Row],[Order quantities]]&gt;Table1[[#This Row],[Availability]], "High Risk", "Low Risk")</f>
        <v>High Risk</v>
      </c>
      <c r="I67" s="1">
        <v>4</v>
      </c>
      <c r="J67" s="1" t="s">
        <v>43</v>
      </c>
      <c r="K67" s="4">
        <v>4.1934867000000002</v>
      </c>
      <c r="L67" s="1" t="s">
        <v>24</v>
      </c>
      <c r="M67" s="1" t="s">
        <v>49</v>
      </c>
      <c r="N67" s="1">
        <v>23</v>
      </c>
      <c r="O67" s="1">
        <v>211</v>
      </c>
      <c r="P67" s="1">
        <v>13</v>
      </c>
      <c r="Q67" s="4">
        <v>62.182481070000001</v>
      </c>
      <c r="R67" s="1" t="s">
        <v>51</v>
      </c>
      <c r="S67" s="3">
        <v>4.0232533129999997</v>
      </c>
      <c r="T67" s="1" t="s">
        <v>47</v>
      </c>
      <c r="U67" s="1" t="s">
        <v>28</v>
      </c>
      <c r="V67" s="4">
        <v>812.07744590000004</v>
      </c>
      <c r="W67" s="8">
        <f>Table1[[#This Row],[Revenue]]-Table1[[#This Row],[Shipping costs]]-Table1[[#This Row],[Manufacturing costs]]</f>
        <v>745.70147813000005</v>
      </c>
    </row>
    <row r="68" spans="1:23" ht="14.25" customHeight="1" x14ac:dyDescent="0.25">
      <c r="A68" s="1" t="s">
        <v>21</v>
      </c>
      <c r="B68" s="1" t="s">
        <v>113</v>
      </c>
      <c r="C68" s="2">
        <v>90.9</v>
      </c>
      <c r="D68" s="1">
        <v>85</v>
      </c>
      <c r="E68" s="1">
        <v>724</v>
      </c>
      <c r="F68" s="1">
        <v>19</v>
      </c>
      <c r="G68" s="1">
        <v>63</v>
      </c>
      <c r="H68" s="1" t="str">
        <f>IF(Table1[[#This Row],[Order quantities]]&gt;Table1[[#This Row],[Availability]], "High Risk", "Low Risk")</f>
        <v>Low Risk</v>
      </c>
      <c r="I68" s="1">
        <v>9</v>
      </c>
      <c r="J68" s="1" t="s">
        <v>31</v>
      </c>
      <c r="K68" s="4">
        <v>3.3504618929999999</v>
      </c>
      <c r="L68" s="1" t="s">
        <v>37</v>
      </c>
      <c r="M68" s="1" t="s">
        <v>55</v>
      </c>
      <c r="N68" s="1">
        <v>1</v>
      </c>
      <c r="O68" s="1">
        <v>841</v>
      </c>
      <c r="P68" s="1">
        <v>10</v>
      </c>
      <c r="Q68" s="4">
        <v>58.187200199999999</v>
      </c>
      <c r="R68" s="1" t="s">
        <v>34</v>
      </c>
      <c r="S68" s="3">
        <v>1.659924908</v>
      </c>
      <c r="T68" s="1" t="s">
        <v>27</v>
      </c>
      <c r="U68" s="1" t="s">
        <v>28</v>
      </c>
      <c r="V68" s="4">
        <v>157.67612879999999</v>
      </c>
      <c r="W68" s="8">
        <f>Table1[[#This Row],[Revenue]]-Table1[[#This Row],[Shipping costs]]-Table1[[#This Row],[Manufacturing costs]]</f>
        <v>96.138466706999992</v>
      </c>
    </row>
    <row r="69" spans="1:23" ht="14.25" customHeight="1" x14ac:dyDescent="0.25">
      <c r="A69" s="1" t="s">
        <v>114</v>
      </c>
      <c r="B69" s="1" t="s">
        <v>115</v>
      </c>
      <c r="C69" s="2">
        <v>38.08</v>
      </c>
      <c r="D69" s="1">
        <v>24</v>
      </c>
      <c r="E69" s="1">
        <v>158</v>
      </c>
      <c r="F69" s="1">
        <v>4</v>
      </c>
      <c r="G69" s="1">
        <v>52</v>
      </c>
      <c r="H69" s="1" t="str">
        <f>IF(Table1[[#This Row],[Order quantities]]&gt;Table1[[#This Row],[Availability]], "High Risk", "Low Risk")</f>
        <v>High Risk</v>
      </c>
      <c r="I69" s="1">
        <v>8</v>
      </c>
      <c r="J69" s="1" t="s">
        <v>31</v>
      </c>
      <c r="K69" s="4">
        <v>7.2545780740000003</v>
      </c>
      <c r="L69" s="1" t="s">
        <v>44</v>
      </c>
      <c r="M69" s="1" t="s">
        <v>49</v>
      </c>
      <c r="N69" s="1">
        <v>21</v>
      </c>
      <c r="O69" s="1">
        <v>767</v>
      </c>
      <c r="P69" s="1">
        <v>5</v>
      </c>
      <c r="Q69" s="4">
        <v>80.955957789999999</v>
      </c>
      <c r="R69" s="1" t="s">
        <v>26</v>
      </c>
      <c r="S69" s="3">
        <v>1.968026769</v>
      </c>
      <c r="T69" s="1" t="s">
        <v>47</v>
      </c>
      <c r="U69" s="1" t="s">
        <v>53</v>
      </c>
      <c r="V69" s="4">
        <v>261.55023440000002</v>
      </c>
      <c r="W69" s="8">
        <f>Table1[[#This Row],[Revenue]]-Table1[[#This Row],[Shipping costs]]-Table1[[#This Row],[Manufacturing costs]]</f>
        <v>173.33969853600001</v>
      </c>
    </row>
    <row r="70" spans="1:23" ht="14.25" customHeight="1" x14ac:dyDescent="0.25">
      <c r="A70" s="1" t="s">
        <v>21</v>
      </c>
      <c r="B70" s="1" t="s">
        <v>116</v>
      </c>
      <c r="C70" s="2">
        <v>79.45</v>
      </c>
      <c r="D70" s="1">
        <v>81</v>
      </c>
      <c r="E70" s="1">
        <v>956</v>
      </c>
      <c r="F70" s="1">
        <v>9</v>
      </c>
      <c r="G70" s="1">
        <v>25</v>
      </c>
      <c r="H70" s="1" t="str">
        <f>IF(Table1[[#This Row],[Order quantities]]&gt;Table1[[#This Row],[Availability]], "High Risk", "Low Risk")</f>
        <v>Low Risk</v>
      </c>
      <c r="I70" s="1">
        <v>8</v>
      </c>
      <c r="J70" s="1" t="s">
        <v>31</v>
      </c>
      <c r="K70" s="4">
        <v>8.1661924849999998</v>
      </c>
      <c r="L70" s="1" t="s">
        <v>24</v>
      </c>
      <c r="M70" s="1" t="s">
        <v>46</v>
      </c>
      <c r="N70" s="1">
        <v>10</v>
      </c>
      <c r="O70" s="1">
        <v>934</v>
      </c>
      <c r="P70" s="1">
        <v>24</v>
      </c>
      <c r="Q70" s="4">
        <v>96.212086810000002</v>
      </c>
      <c r="R70" s="1" t="s">
        <v>34</v>
      </c>
      <c r="S70" s="3">
        <v>1.313323727</v>
      </c>
      <c r="T70" s="1" t="s">
        <v>35</v>
      </c>
      <c r="U70" s="1" t="s">
        <v>39</v>
      </c>
      <c r="V70" s="4">
        <v>544.1777472</v>
      </c>
      <c r="W70" s="8">
        <f>Table1[[#This Row],[Revenue]]-Table1[[#This Row],[Shipping costs]]-Table1[[#This Row],[Manufacturing costs]]</f>
        <v>439.79946790499997</v>
      </c>
    </row>
    <row r="71" spans="1:23" ht="14.25" customHeight="1" x14ac:dyDescent="0.25">
      <c r="A71" s="1" t="s">
        <v>21</v>
      </c>
      <c r="B71" s="1" t="s">
        <v>117</v>
      </c>
      <c r="C71" s="2">
        <v>42.67</v>
      </c>
      <c r="D71" s="1">
        <v>32</v>
      </c>
      <c r="E71" s="1">
        <v>23</v>
      </c>
      <c r="F71" s="1">
        <v>5</v>
      </c>
      <c r="G71" s="1">
        <v>55</v>
      </c>
      <c r="H71" s="1" t="str">
        <f>IF(Table1[[#This Row],[Order quantities]]&gt;Table1[[#This Row],[Availability]], "High Risk", "Low Risk")</f>
        <v>High Risk</v>
      </c>
      <c r="I71" s="1">
        <v>8</v>
      </c>
      <c r="J71" s="1" t="s">
        <v>43</v>
      </c>
      <c r="K71" s="4">
        <v>7.6152266759999998</v>
      </c>
      <c r="L71" s="1" t="s">
        <v>38</v>
      </c>
      <c r="M71" s="1" t="s">
        <v>33</v>
      </c>
      <c r="N71" s="1">
        <v>27</v>
      </c>
      <c r="O71" s="1">
        <v>975</v>
      </c>
      <c r="P71" s="1">
        <v>16</v>
      </c>
      <c r="Q71" s="4">
        <v>84.184118729999994</v>
      </c>
      <c r="R71" s="1" t="s">
        <v>51</v>
      </c>
      <c r="S71" s="3">
        <v>2.5816362470000001</v>
      </c>
      <c r="T71" s="1" t="s">
        <v>35</v>
      </c>
      <c r="U71" s="1" t="s">
        <v>28</v>
      </c>
      <c r="V71" s="4">
        <v>892.60161630000005</v>
      </c>
      <c r="W71" s="8">
        <f>Table1[[#This Row],[Revenue]]-Table1[[#This Row],[Shipping costs]]-Table1[[#This Row],[Manufacturing costs]]</f>
        <v>800.802270894</v>
      </c>
    </row>
    <row r="72" spans="1:23" ht="14.25" customHeight="1" x14ac:dyDescent="0.25">
      <c r="A72" s="1" t="s">
        <v>29</v>
      </c>
      <c r="B72" s="1" t="s">
        <v>118</v>
      </c>
      <c r="C72" s="2">
        <v>64.099999999999994</v>
      </c>
      <c r="D72" s="1">
        <v>15</v>
      </c>
      <c r="E72" s="1">
        <v>403</v>
      </c>
      <c r="F72" s="1">
        <v>13</v>
      </c>
      <c r="G72" s="1">
        <v>46</v>
      </c>
      <c r="H72" s="1" t="str">
        <f>IF(Table1[[#This Row],[Order quantities]]&gt;Table1[[#This Row],[Availability]], "High Risk", "Low Risk")</f>
        <v>High Risk</v>
      </c>
      <c r="I72" s="1">
        <v>7</v>
      </c>
      <c r="J72" s="1" t="s">
        <v>43</v>
      </c>
      <c r="K72" s="4">
        <v>6.4909712979999998</v>
      </c>
      <c r="L72" s="1" t="s">
        <v>32</v>
      </c>
      <c r="M72" s="1" t="s">
        <v>46</v>
      </c>
      <c r="N72" s="1">
        <v>6</v>
      </c>
      <c r="O72" s="1">
        <v>834</v>
      </c>
      <c r="P72" s="1">
        <v>1</v>
      </c>
      <c r="Q72" s="4">
        <v>60.835729309999998</v>
      </c>
      <c r="R72" s="1" t="s">
        <v>51</v>
      </c>
      <c r="S72" s="3">
        <v>4.2375714819999999</v>
      </c>
      <c r="T72" s="1" t="s">
        <v>35</v>
      </c>
      <c r="U72" s="1" t="s">
        <v>39</v>
      </c>
      <c r="V72" s="4">
        <v>457.51791830000002</v>
      </c>
      <c r="W72" s="8">
        <f>Table1[[#This Row],[Revenue]]-Table1[[#This Row],[Shipping costs]]-Table1[[#This Row],[Manufacturing costs]]</f>
        <v>390.19121769200007</v>
      </c>
    </row>
    <row r="73" spans="1:23" ht="14.25" customHeight="1" x14ac:dyDescent="0.25">
      <c r="A73" s="1" t="s">
        <v>29</v>
      </c>
      <c r="B73" s="1" t="s">
        <v>119</v>
      </c>
      <c r="C73" s="2">
        <v>86.92</v>
      </c>
      <c r="D73" s="1">
        <v>41</v>
      </c>
      <c r="E73" s="1">
        <v>804</v>
      </c>
      <c r="F73" s="1">
        <v>23</v>
      </c>
      <c r="G73" s="1">
        <v>32</v>
      </c>
      <c r="H73" s="1" t="str">
        <f>IF(Table1[[#This Row],[Order quantities]]&gt;Table1[[#This Row],[Availability]], "High Risk", "Low Risk")</f>
        <v>Low Risk</v>
      </c>
      <c r="I73" s="1">
        <v>8</v>
      </c>
      <c r="J73" s="1" t="s">
        <v>43</v>
      </c>
      <c r="K73" s="4">
        <v>5.3935990780000003</v>
      </c>
      <c r="L73" s="1" t="s">
        <v>38</v>
      </c>
      <c r="M73" s="1" t="s">
        <v>33</v>
      </c>
      <c r="N73" s="1">
        <v>23</v>
      </c>
      <c r="O73" s="1">
        <v>466</v>
      </c>
      <c r="P73" s="1">
        <v>12</v>
      </c>
      <c r="Q73" s="4">
        <v>26.169126930000001</v>
      </c>
      <c r="R73" s="1" t="s">
        <v>26</v>
      </c>
      <c r="S73" s="3">
        <v>1.272193747</v>
      </c>
      <c r="T73" s="1" t="s">
        <v>47</v>
      </c>
      <c r="U73" s="1" t="s">
        <v>53</v>
      </c>
      <c r="V73" s="4">
        <v>341.83066220000001</v>
      </c>
      <c r="W73" s="8">
        <f>Table1[[#This Row],[Revenue]]-Table1[[#This Row],[Shipping costs]]-Table1[[#This Row],[Manufacturing costs]]</f>
        <v>310.26793619199998</v>
      </c>
    </row>
    <row r="74" spans="1:23" ht="14.25" customHeight="1" x14ac:dyDescent="0.25">
      <c r="A74" s="1" t="s">
        <v>29</v>
      </c>
      <c r="B74" s="1" t="s">
        <v>120</v>
      </c>
      <c r="C74" s="2">
        <v>95.2</v>
      </c>
      <c r="D74" s="1">
        <v>65</v>
      </c>
      <c r="E74" s="1">
        <v>515</v>
      </c>
      <c r="F74" s="1">
        <v>26</v>
      </c>
      <c r="G74" s="1">
        <v>55</v>
      </c>
      <c r="H74" s="1" t="str">
        <f>IF(Table1[[#This Row],[Order quantities]]&gt;Table1[[#This Row],[Availability]], "High Risk", "Low Risk")</f>
        <v>Low Risk</v>
      </c>
      <c r="I74" s="1">
        <v>8</v>
      </c>
      <c r="J74" s="1" t="s">
        <v>43</v>
      </c>
      <c r="K74" s="4">
        <v>2.1986391310000002</v>
      </c>
      <c r="L74" s="1" t="s">
        <v>41</v>
      </c>
      <c r="M74" s="1" t="s">
        <v>62</v>
      </c>
      <c r="N74" s="1">
        <v>12</v>
      </c>
      <c r="O74" s="1">
        <v>349</v>
      </c>
      <c r="P74" s="1">
        <v>2</v>
      </c>
      <c r="Q74" s="4">
        <v>18.978720190000001</v>
      </c>
      <c r="R74" s="1" t="s">
        <v>51</v>
      </c>
      <c r="S74" s="3">
        <v>2.134547408</v>
      </c>
      <c r="T74" s="1" t="s">
        <v>35</v>
      </c>
      <c r="U74" s="1" t="s">
        <v>28</v>
      </c>
      <c r="V74" s="4">
        <v>412.839833</v>
      </c>
      <c r="W74" s="8">
        <f>Table1[[#This Row],[Revenue]]-Table1[[#This Row],[Shipping costs]]-Table1[[#This Row],[Manufacturing costs]]</f>
        <v>391.66247367900002</v>
      </c>
    </row>
    <row r="75" spans="1:23" ht="14.25" customHeight="1" x14ac:dyDescent="0.25">
      <c r="A75" s="1" t="s">
        <v>29</v>
      </c>
      <c r="B75" s="1" t="s">
        <v>121</v>
      </c>
      <c r="C75" s="2">
        <v>18.97</v>
      </c>
      <c r="D75" s="1">
        <v>54</v>
      </c>
      <c r="E75" s="1">
        <v>731</v>
      </c>
      <c r="F75" s="1">
        <v>18</v>
      </c>
      <c r="G75" s="1">
        <v>96</v>
      </c>
      <c r="H75" s="1" t="str">
        <f>IF(Table1[[#This Row],[Order quantities]]&gt;Table1[[#This Row],[Availability]], "High Risk", "Low Risk")</f>
        <v>High Risk</v>
      </c>
      <c r="I75" s="1">
        <v>8</v>
      </c>
      <c r="J75" s="1" t="s">
        <v>43</v>
      </c>
      <c r="K75" s="4">
        <v>3.3519971609999999</v>
      </c>
      <c r="L75" s="1" t="s">
        <v>32</v>
      </c>
      <c r="M75" s="1" t="s">
        <v>33</v>
      </c>
      <c r="N75" s="1">
        <v>4</v>
      </c>
      <c r="O75" s="1">
        <v>694</v>
      </c>
      <c r="P75" s="1">
        <v>7</v>
      </c>
      <c r="Q75" s="4">
        <v>14.90607009</v>
      </c>
      <c r="R75" s="1" t="s">
        <v>34</v>
      </c>
      <c r="S75" s="3">
        <v>3.1139473080000002</v>
      </c>
      <c r="T75" s="1" t="s">
        <v>47</v>
      </c>
      <c r="U75" s="1" t="s">
        <v>39</v>
      </c>
      <c r="V75" s="4">
        <v>741.4946142</v>
      </c>
      <c r="W75" s="8">
        <f>Table1[[#This Row],[Revenue]]-Table1[[#This Row],[Shipping costs]]-Table1[[#This Row],[Manufacturing costs]]</f>
        <v>723.23654694900006</v>
      </c>
    </row>
    <row r="76" spans="1:23" ht="14.25" customHeight="1" x14ac:dyDescent="0.25">
      <c r="A76" s="1" t="s">
        <v>21</v>
      </c>
      <c r="B76" s="1" t="s">
        <v>122</v>
      </c>
      <c r="C76" s="2">
        <v>93.03</v>
      </c>
      <c r="D76" s="1">
        <v>98</v>
      </c>
      <c r="E76" s="1">
        <v>363</v>
      </c>
      <c r="F76" s="1">
        <v>30</v>
      </c>
      <c r="G76" s="1">
        <v>5</v>
      </c>
      <c r="H76" s="1" t="str">
        <f>IF(Table1[[#This Row],[Order quantities]]&gt;Table1[[#This Row],[Availability]], "High Risk", "Low Risk")</f>
        <v>Low Risk</v>
      </c>
      <c r="I76" s="1">
        <v>7</v>
      </c>
      <c r="J76" s="1" t="s">
        <v>31</v>
      </c>
      <c r="K76" s="4">
        <v>4.7718952559999996</v>
      </c>
      <c r="L76" s="1" t="s">
        <v>24</v>
      </c>
      <c r="M76" s="1" t="s">
        <v>49</v>
      </c>
      <c r="N76" s="1">
        <v>28</v>
      </c>
      <c r="O76" s="1">
        <v>339</v>
      </c>
      <c r="P76" s="1">
        <v>11</v>
      </c>
      <c r="Q76" s="4">
        <v>69.987324860000001</v>
      </c>
      <c r="R76" s="1" t="s">
        <v>26</v>
      </c>
      <c r="S76" s="3">
        <v>2.4578219419999998</v>
      </c>
      <c r="T76" s="1" t="s">
        <v>35</v>
      </c>
      <c r="U76" s="1" t="s">
        <v>39</v>
      </c>
      <c r="V76" s="4">
        <v>599.50510510000004</v>
      </c>
      <c r="W76" s="8">
        <f>Table1[[#This Row],[Revenue]]-Table1[[#This Row],[Shipping costs]]-Table1[[#This Row],[Manufacturing costs]]</f>
        <v>524.74588498399999</v>
      </c>
    </row>
    <row r="77" spans="1:23" ht="14.25" customHeight="1" x14ac:dyDescent="0.25">
      <c r="A77" s="1" t="s">
        <v>21</v>
      </c>
      <c r="B77" s="1" t="s">
        <v>123</v>
      </c>
      <c r="C77" s="2">
        <v>51.75</v>
      </c>
      <c r="D77" s="1">
        <v>41</v>
      </c>
      <c r="E77" s="1">
        <v>381</v>
      </c>
      <c r="F77" s="1">
        <v>30</v>
      </c>
      <c r="G77" s="1">
        <v>36</v>
      </c>
      <c r="H77" s="1" t="str">
        <f>IF(Table1[[#This Row],[Order quantities]]&gt;Table1[[#This Row],[Availability]], "High Risk", "Low Risk")</f>
        <v>Low Risk</v>
      </c>
      <c r="I77" s="1">
        <v>1</v>
      </c>
      <c r="J77" s="1" t="s">
        <v>43</v>
      </c>
      <c r="K77" s="4">
        <v>6.3936935830000001</v>
      </c>
      <c r="L77" s="1" t="s">
        <v>44</v>
      </c>
      <c r="M77" s="1" t="s">
        <v>33</v>
      </c>
      <c r="N77" s="1">
        <v>13</v>
      </c>
      <c r="O77" s="1">
        <v>479</v>
      </c>
      <c r="P77" s="1">
        <v>29</v>
      </c>
      <c r="Q77" s="4">
        <v>82.678262989999993</v>
      </c>
      <c r="R77" s="1" t="s">
        <v>26</v>
      </c>
      <c r="S77" s="3">
        <v>2.3515611060000001</v>
      </c>
      <c r="T77" s="1" t="s">
        <v>35</v>
      </c>
      <c r="U77" s="1" t="s">
        <v>28</v>
      </c>
      <c r="V77" s="4">
        <v>913.77208680000001</v>
      </c>
      <c r="W77" s="8">
        <f>Table1[[#This Row],[Revenue]]-Table1[[#This Row],[Shipping costs]]-Table1[[#This Row],[Manufacturing costs]]</f>
        <v>824.70013022700005</v>
      </c>
    </row>
    <row r="78" spans="1:23" ht="14.25" customHeight="1" x14ac:dyDescent="0.25">
      <c r="A78" s="1" t="s">
        <v>21</v>
      </c>
      <c r="B78" s="1" t="s">
        <v>124</v>
      </c>
      <c r="C78" s="2">
        <v>29.53</v>
      </c>
      <c r="D78" s="1">
        <v>33</v>
      </c>
      <c r="E78" s="1">
        <v>531</v>
      </c>
      <c r="F78" s="1">
        <v>5</v>
      </c>
      <c r="G78" s="1">
        <v>49</v>
      </c>
      <c r="H78" s="1" t="str">
        <f>IF(Table1[[#This Row],[Order quantities]]&gt;Table1[[#This Row],[Availability]], "High Risk", "Low Risk")</f>
        <v>High Risk</v>
      </c>
      <c r="I78" s="1">
        <v>4</v>
      </c>
      <c r="J78" s="1" t="s">
        <v>23</v>
      </c>
      <c r="K78" s="4">
        <v>5.6233706970000004</v>
      </c>
      <c r="L78" s="1" t="s">
        <v>44</v>
      </c>
      <c r="M78" s="1" t="s">
        <v>55</v>
      </c>
      <c r="N78" s="1">
        <v>17</v>
      </c>
      <c r="O78" s="1">
        <v>971</v>
      </c>
      <c r="P78" s="1">
        <v>30</v>
      </c>
      <c r="Q78" s="4">
        <v>55.781555560000001</v>
      </c>
      <c r="R78" s="1" t="s">
        <v>34</v>
      </c>
      <c r="S78" s="3">
        <v>1.876297683</v>
      </c>
      <c r="T78" s="1" t="s">
        <v>35</v>
      </c>
      <c r="U78" s="1" t="s">
        <v>39</v>
      </c>
      <c r="V78" s="4">
        <v>641.95189249999999</v>
      </c>
      <c r="W78" s="8">
        <f>Table1[[#This Row],[Revenue]]-Table1[[#This Row],[Shipping costs]]-Table1[[#This Row],[Manufacturing costs]]</f>
        <v>580.54696624299993</v>
      </c>
    </row>
    <row r="79" spans="1:23" ht="14.25" customHeight="1" x14ac:dyDescent="0.25">
      <c r="A79" s="1" t="s">
        <v>29</v>
      </c>
      <c r="B79" s="1" t="s">
        <v>125</v>
      </c>
      <c r="C79" s="2">
        <v>48.62</v>
      </c>
      <c r="D79" s="1">
        <v>29</v>
      </c>
      <c r="E79" s="1">
        <v>955</v>
      </c>
      <c r="F79" s="1">
        <v>25</v>
      </c>
      <c r="G79" s="1">
        <v>58</v>
      </c>
      <c r="H79" s="1" t="str">
        <f>IF(Table1[[#This Row],[Order quantities]]&gt;Table1[[#This Row],[Availability]], "High Risk", "Low Risk")</f>
        <v>High Risk</v>
      </c>
      <c r="I79" s="1">
        <v>4</v>
      </c>
      <c r="J79" s="1" t="s">
        <v>23</v>
      </c>
      <c r="K79" s="4">
        <v>3.5936607340000002</v>
      </c>
      <c r="L79" s="1" t="s">
        <v>32</v>
      </c>
      <c r="M79" s="1" t="s">
        <v>46</v>
      </c>
      <c r="N79" s="1">
        <v>27</v>
      </c>
      <c r="O79" s="1">
        <v>934</v>
      </c>
      <c r="P79" s="1">
        <v>13</v>
      </c>
      <c r="Q79" s="4">
        <v>14.924275740000001</v>
      </c>
      <c r="R79" s="1" t="s">
        <v>37</v>
      </c>
      <c r="S79" s="3">
        <v>2.974567006</v>
      </c>
      <c r="T79" s="1" t="s">
        <v>47</v>
      </c>
      <c r="U79" s="1" t="s">
        <v>39</v>
      </c>
      <c r="V79" s="4">
        <v>543.71638759999996</v>
      </c>
      <c r="W79" s="8">
        <f>Table1[[#This Row],[Revenue]]-Table1[[#This Row],[Shipping costs]]-Table1[[#This Row],[Manufacturing costs]]</f>
        <v>525.19845112600001</v>
      </c>
    </row>
    <row r="80" spans="1:23" ht="14.25" customHeight="1" x14ac:dyDescent="0.25">
      <c r="A80" s="1" t="s">
        <v>29</v>
      </c>
      <c r="B80" s="1" t="s">
        <v>126</v>
      </c>
      <c r="C80" s="2">
        <v>98.1</v>
      </c>
      <c r="D80" s="1">
        <v>12</v>
      </c>
      <c r="E80" s="1">
        <v>151</v>
      </c>
      <c r="F80" s="1">
        <v>16</v>
      </c>
      <c r="G80" s="1">
        <v>39</v>
      </c>
      <c r="H80" s="1" t="str">
        <f>IF(Table1[[#This Row],[Order quantities]]&gt;Table1[[#This Row],[Availability]], "High Risk", "Low Risk")</f>
        <v>High Risk</v>
      </c>
      <c r="I80" s="1">
        <v>5</v>
      </c>
      <c r="J80" s="1" t="s">
        <v>31</v>
      </c>
      <c r="K80" s="4">
        <v>1.05817922</v>
      </c>
      <c r="L80" s="1" t="s">
        <v>41</v>
      </c>
      <c r="M80" s="1" t="s">
        <v>33</v>
      </c>
      <c r="N80" s="1">
        <v>8</v>
      </c>
      <c r="O80" s="1">
        <v>570</v>
      </c>
      <c r="P80" s="1">
        <v>2</v>
      </c>
      <c r="Q80" s="4">
        <v>58.192351709999997</v>
      </c>
      <c r="R80" s="1" t="s">
        <v>51</v>
      </c>
      <c r="S80" s="3">
        <v>3.1594262199999998</v>
      </c>
      <c r="T80" s="1" t="s">
        <v>27</v>
      </c>
      <c r="U80" s="1" t="s">
        <v>53</v>
      </c>
      <c r="V80" s="4">
        <v>807.17745149999996</v>
      </c>
      <c r="W80" s="8">
        <f>Table1[[#This Row],[Revenue]]-Table1[[#This Row],[Shipping costs]]-Table1[[#This Row],[Manufacturing costs]]</f>
        <v>747.92692056999988</v>
      </c>
    </row>
    <row r="81" spans="1:23" ht="14.25" customHeight="1" x14ac:dyDescent="0.25">
      <c r="A81" s="1" t="s">
        <v>21</v>
      </c>
      <c r="B81" s="1" t="s">
        <v>127</v>
      </c>
      <c r="C81" s="2">
        <v>51.8</v>
      </c>
      <c r="D81" s="1">
        <v>12</v>
      </c>
      <c r="E81" s="1">
        <v>561</v>
      </c>
      <c r="F81" s="1">
        <v>27</v>
      </c>
      <c r="G81" s="1">
        <v>80</v>
      </c>
      <c r="H81" s="1" t="str">
        <f>IF(Table1[[#This Row],[Order quantities]]&gt;Table1[[#This Row],[Availability]], "High Risk", "Low Risk")</f>
        <v>High Risk</v>
      </c>
      <c r="I81" s="1">
        <v>6</v>
      </c>
      <c r="J81" s="1" t="s">
        <v>31</v>
      </c>
      <c r="K81" s="4">
        <v>5.466152997</v>
      </c>
      <c r="L81" s="1" t="s">
        <v>32</v>
      </c>
      <c r="M81" s="1" t="s">
        <v>46</v>
      </c>
      <c r="N81" s="1">
        <v>26</v>
      </c>
      <c r="O81" s="1">
        <v>874</v>
      </c>
      <c r="P81" s="1">
        <v>7</v>
      </c>
      <c r="Q81" s="4">
        <v>94.217433540000002</v>
      </c>
      <c r="R81" s="1" t="s">
        <v>26</v>
      </c>
      <c r="S81" s="3">
        <v>3.3011187500000001</v>
      </c>
      <c r="T81" s="1" t="s">
        <v>27</v>
      </c>
      <c r="U81" s="1" t="s">
        <v>39</v>
      </c>
      <c r="V81" s="4">
        <v>952.78046570000004</v>
      </c>
      <c r="W81" s="8">
        <f>Table1[[#This Row],[Revenue]]-Table1[[#This Row],[Shipping costs]]-Table1[[#This Row],[Manufacturing costs]]</f>
        <v>853.09687916300004</v>
      </c>
    </row>
    <row r="82" spans="1:23" ht="14.25" customHeight="1" x14ac:dyDescent="0.25">
      <c r="A82" s="1" t="s">
        <v>21</v>
      </c>
      <c r="B82" s="1" t="s">
        <v>128</v>
      </c>
      <c r="C82" s="2">
        <v>36.229999999999997</v>
      </c>
      <c r="D82" s="1">
        <v>17</v>
      </c>
      <c r="E82" s="1">
        <v>688</v>
      </c>
      <c r="F82" s="1">
        <v>19</v>
      </c>
      <c r="G82" s="1">
        <v>97</v>
      </c>
      <c r="H82" s="1" t="str">
        <f>IF(Table1[[#This Row],[Order quantities]]&gt;Table1[[#This Row],[Availability]], "High Risk", "Low Risk")</f>
        <v>High Risk</v>
      </c>
      <c r="I82" s="1">
        <v>4</v>
      </c>
      <c r="J82" s="1" t="s">
        <v>31</v>
      </c>
      <c r="K82" s="4">
        <v>3.570633897</v>
      </c>
      <c r="L82" s="1" t="s">
        <v>38</v>
      </c>
      <c r="M82" s="1" t="s">
        <v>55</v>
      </c>
      <c r="N82" s="1">
        <v>20</v>
      </c>
      <c r="O82" s="1">
        <v>800</v>
      </c>
      <c r="P82" s="1">
        <v>15</v>
      </c>
      <c r="Q82" s="4">
        <v>63.785187180000001</v>
      </c>
      <c r="R82" s="1" t="s">
        <v>26</v>
      </c>
      <c r="S82" s="3">
        <v>0.44480372899999998</v>
      </c>
      <c r="T82" s="1" t="s">
        <v>27</v>
      </c>
      <c r="U82" s="1" t="s">
        <v>28</v>
      </c>
      <c r="V82" s="4">
        <v>420.26132009999998</v>
      </c>
      <c r="W82" s="8">
        <f>Table1[[#This Row],[Revenue]]-Table1[[#This Row],[Shipping costs]]-Table1[[#This Row],[Manufacturing costs]]</f>
        <v>352.905499023</v>
      </c>
    </row>
    <row r="83" spans="1:23" ht="14.25" customHeight="1" x14ac:dyDescent="0.25">
      <c r="A83" s="1" t="s">
        <v>21</v>
      </c>
      <c r="B83" s="1" t="s">
        <v>129</v>
      </c>
      <c r="C83" s="2">
        <v>65.17</v>
      </c>
      <c r="D83" s="1">
        <v>31</v>
      </c>
      <c r="E83" s="1">
        <v>946</v>
      </c>
      <c r="F83" s="1">
        <v>14</v>
      </c>
      <c r="G83" s="1">
        <v>85</v>
      </c>
      <c r="H83" s="1" t="str">
        <f>IF(Table1[[#This Row],[Order quantities]]&gt;Table1[[#This Row],[Availability]], "High Risk", "Low Risk")</f>
        <v>High Risk</v>
      </c>
      <c r="I83" s="1">
        <v>2</v>
      </c>
      <c r="J83" s="1" t="s">
        <v>43</v>
      </c>
      <c r="K83" s="4">
        <v>7.6114747060000001</v>
      </c>
      <c r="L83" s="1" t="s">
        <v>32</v>
      </c>
      <c r="M83" s="1" t="s">
        <v>33</v>
      </c>
      <c r="N83" s="1">
        <v>3</v>
      </c>
      <c r="O83" s="1">
        <v>554</v>
      </c>
      <c r="P83" s="1">
        <v>25</v>
      </c>
      <c r="Q83" s="4">
        <v>82.848473960000007</v>
      </c>
      <c r="R83" s="1" t="s">
        <v>34</v>
      </c>
      <c r="S83" s="3">
        <v>3.1920674610000002</v>
      </c>
      <c r="T83" s="1" t="s">
        <v>27</v>
      </c>
      <c r="U83" s="1" t="s">
        <v>39</v>
      </c>
      <c r="V83" s="4">
        <v>324.88858909999999</v>
      </c>
      <c r="W83" s="8">
        <f>Table1[[#This Row],[Revenue]]-Table1[[#This Row],[Shipping costs]]-Table1[[#This Row],[Manufacturing costs]]</f>
        <v>234.42864043399996</v>
      </c>
    </row>
    <row r="84" spans="1:23" ht="14.25" customHeight="1" x14ac:dyDescent="0.25">
      <c r="A84" s="1" t="s">
        <v>21</v>
      </c>
      <c r="B84" s="1" t="s">
        <v>130</v>
      </c>
      <c r="C84" s="2">
        <v>27.81</v>
      </c>
      <c r="D84" s="1">
        <v>95</v>
      </c>
      <c r="E84" s="1">
        <v>607</v>
      </c>
      <c r="F84" s="1">
        <v>25</v>
      </c>
      <c r="G84" s="1">
        <v>61</v>
      </c>
      <c r="H84" s="1" t="str">
        <f>IF(Table1[[#This Row],[Order quantities]]&gt;Table1[[#This Row],[Availability]], "High Risk", "Low Risk")</f>
        <v>Low Risk</v>
      </c>
      <c r="I84" s="1">
        <v>6</v>
      </c>
      <c r="J84" s="1" t="s">
        <v>43</v>
      </c>
      <c r="K84" s="4">
        <v>1.2155163870000001</v>
      </c>
      <c r="L84" s="1" t="s">
        <v>32</v>
      </c>
      <c r="M84" s="1" t="s">
        <v>46</v>
      </c>
      <c r="N84" s="1">
        <v>12</v>
      </c>
      <c r="O84" s="1">
        <v>465</v>
      </c>
      <c r="P84" s="1">
        <v>11</v>
      </c>
      <c r="Q84" s="4">
        <v>82.013738360000005</v>
      </c>
      <c r="R84" s="1" t="s">
        <v>26</v>
      </c>
      <c r="S84" s="3">
        <v>4.7708621759999996</v>
      </c>
      <c r="T84" s="1" t="s">
        <v>27</v>
      </c>
      <c r="U84" s="1" t="s">
        <v>28</v>
      </c>
      <c r="V84" s="4">
        <v>654.59565669999995</v>
      </c>
      <c r="W84" s="8">
        <f>Table1[[#This Row],[Revenue]]-Table1[[#This Row],[Shipping costs]]-Table1[[#This Row],[Manufacturing costs]]</f>
        <v>571.36640195299992</v>
      </c>
    </row>
    <row r="85" spans="1:23" ht="14.25" customHeight="1" x14ac:dyDescent="0.25">
      <c r="A85" s="1" t="s">
        <v>29</v>
      </c>
      <c r="B85" s="1" t="s">
        <v>131</v>
      </c>
      <c r="C85" s="2">
        <v>12.21</v>
      </c>
      <c r="D85" s="1">
        <v>98</v>
      </c>
      <c r="E85" s="1">
        <v>616</v>
      </c>
      <c r="F85" s="1">
        <v>30</v>
      </c>
      <c r="G85" s="1">
        <v>9</v>
      </c>
      <c r="H85" s="1" t="str">
        <f>IF(Table1[[#This Row],[Order quantities]]&gt;Table1[[#This Row],[Availability]], "High Risk", "Low Risk")</f>
        <v>Low Risk</v>
      </c>
      <c r="I85" s="1">
        <v>8</v>
      </c>
      <c r="J85" s="1" t="s">
        <v>23</v>
      </c>
      <c r="K85" s="4">
        <v>6.2634503019999999</v>
      </c>
      <c r="L85" s="1" t="s">
        <v>38</v>
      </c>
      <c r="M85" s="1" t="s">
        <v>46</v>
      </c>
      <c r="N85" s="1">
        <v>7</v>
      </c>
      <c r="O85" s="1">
        <v>389</v>
      </c>
      <c r="P85" s="1">
        <v>2</v>
      </c>
      <c r="Q85" s="4">
        <v>93.891618980000004</v>
      </c>
      <c r="R85" s="1" t="s">
        <v>51</v>
      </c>
      <c r="S85" s="3">
        <v>2.750832554</v>
      </c>
      <c r="T85" s="1" t="s">
        <v>47</v>
      </c>
      <c r="U85" s="1" t="s">
        <v>39</v>
      </c>
      <c r="V85" s="4">
        <v>548.98553900000002</v>
      </c>
      <c r="W85" s="8">
        <f>Table1[[#This Row],[Revenue]]-Table1[[#This Row],[Shipping costs]]-Table1[[#This Row],[Manufacturing costs]]</f>
        <v>448.83046971800002</v>
      </c>
    </row>
    <row r="86" spans="1:23" ht="14.25" customHeight="1" x14ac:dyDescent="0.25">
      <c r="A86" s="1" t="s">
        <v>29</v>
      </c>
      <c r="B86" s="1" t="s">
        <v>132</v>
      </c>
      <c r="C86" s="2">
        <v>17.239999999999998</v>
      </c>
      <c r="D86" s="1">
        <v>38</v>
      </c>
      <c r="E86" s="1">
        <v>419</v>
      </c>
      <c r="F86" s="1">
        <v>16</v>
      </c>
      <c r="G86" s="1">
        <v>6</v>
      </c>
      <c r="H86" s="1" t="str">
        <f>IF(Table1[[#This Row],[Order quantities]]&gt;Table1[[#This Row],[Availability]], "High Risk", "Low Risk")</f>
        <v>Low Risk</v>
      </c>
      <c r="I86" s="1">
        <v>8</v>
      </c>
      <c r="J86" s="1" t="s">
        <v>31</v>
      </c>
      <c r="K86" s="4">
        <v>9.4732681379999999</v>
      </c>
      <c r="L86" s="1" t="s">
        <v>44</v>
      </c>
      <c r="M86" s="1" t="s">
        <v>33</v>
      </c>
      <c r="N86" s="1">
        <v>12</v>
      </c>
      <c r="O86" s="1">
        <v>973</v>
      </c>
      <c r="P86" s="1">
        <v>7</v>
      </c>
      <c r="Q86" s="4">
        <v>79.320588909999998</v>
      </c>
      <c r="R86" s="1" t="s">
        <v>51</v>
      </c>
      <c r="S86" s="3">
        <v>3.6048087039999999</v>
      </c>
      <c r="T86" s="1" t="s">
        <v>47</v>
      </c>
      <c r="U86" s="1" t="s">
        <v>53</v>
      </c>
      <c r="V86" s="4">
        <v>990.26701739999999</v>
      </c>
      <c r="W86" s="8">
        <f>Table1[[#This Row],[Revenue]]-Table1[[#This Row],[Shipping costs]]-Table1[[#This Row],[Manufacturing costs]]</f>
        <v>901.47316035200004</v>
      </c>
    </row>
    <row r="87" spans="1:23" ht="14.25" customHeight="1" x14ac:dyDescent="0.25">
      <c r="A87" s="1" t="s">
        <v>29</v>
      </c>
      <c r="B87" s="1" t="s">
        <v>133</v>
      </c>
      <c r="C87" s="2">
        <v>17.16</v>
      </c>
      <c r="D87" s="1">
        <v>45</v>
      </c>
      <c r="E87" s="1">
        <v>249</v>
      </c>
      <c r="F87" s="1">
        <v>27</v>
      </c>
      <c r="G87" s="1">
        <v>35</v>
      </c>
      <c r="H87" s="1" t="str">
        <f>IF(Table1[[#This Row],[Order quantities]]&gt;Table1[[#This Row],[Availability]], "High Risk", "Low Risk")</f>
        <v>Low Risk</v>
      </c>
      <c r="I87" s="1">
        <v>7</v>
      </c>
      <c r="J87" s="1" t="s">
        <v>31</v>
      </c>
      <c r="K87" s="4">
        <v>2.5696834040000001</v>
      </c>
      <c r="L87" s="1" t="s">
        <v>38</v>
      </c>
      <c r="M87" s="1" t="s">
        <v>55</v>
      </c>
      <c r="N87" s="1">
        <v>2</v>
      </c>
      <c r="O87" s="1">
        <v>502</v>
      </c>
      <c r="P87" s="1">
        <v>4</v>
      </c>
      <c r="Q87" s="4">
        <v>77.293046259999997</v>
      </c>
      <c r="R87" s="1" t="s">
        <v>26</v>
      </c>
      <c r="S87" s="3">
        <v>2.8279883080000001</v>
      </c>
      <c r="T87" s="1" t="s">
        <v>35</v>
      </c>
      <c r="U87" s="1" t="s">
        <v>53</v>
      </c>
      <c r="V87" s="4">
        <v>516.12560570000005</v>
      </c>
      <c r="W87" s="8">
        <f>Table1[[#This Row],[Revenue]]-Table1[[#This Row],[Shipping costs]]-Table1[[#This Row],[Manufacturing costs]]</f>
        <v>436.26287603600008</v>
      </c>
    </row>
    <row r="88" spans="1:23" ht="14.25" customHeight="1" x14ac:dyDescent="0.25">
      <c r="A88" s="1" t="s">
        <v>21</v>
      </c>
      <c r="B88" s="1" t="s">
        <v>134</v>
      </c>
      <c r="C88" s="2">
        <v>19.43</v>
      </c>
      <c r="D88" s="1">
        <v>28</v>
      </c>
      <c r="E88" s="1">
        <v>116</v>
      </c>
      <c r="F88" s="1">
        <v>15</v>
      </c>
      <c r="G88" s="1">
        <v>39</v>
      </c>
      <c r="H88" s="1" t="str">
        <f>IF(Table1[[#This Row],[Order quantities]]&gt;Table1[[#This Row],[Availability]], "High Risk", "Low Risk")</f>
        <v>High Risk</v>
      </c>
      <c r="I88" s="1">
        <v>6</v>
      </c>
      <c r="J88" s="1" t="s">
        <v>43</v>
      </c>
      <c r="K88" s="4">
        <v>5.2448454169999996</v>
      </c>
      <c r="L88" s="1" t="s">
        <v>24</v>
      </c>
      <c r="M88" s="1" t="s">
        <v>62</v>
      </c>
      <c r="N88" s="1">
        <v>24</v>
      </c>
      <c r="O88" s="1">
        <v>157</v>
      </c>
      <c r="P88" s="1">
        <v>11</v>
      </c>
      <c r="Q88" s="4">
        <v>31.069239849999999</v>
      </c>
      <c r="R88" s="1" t="s">
        <v>34</v>
      </c>
      <c r="S88" s="3">
        <v>4.2882290310000002</v>
      </c>
      <c r="T88" s="1" t="s">
        <v>27</v>
      </c>
      <c r="U88" s="1" t="s">
        <v>39</v>
      </c>
      <c r="V88" s="4">
        <v>166.89839620000001</v>
      </c>
      <c r="W88" s="8">
        <f>Table1[[#This Row],[Revenue]]-Table1[[#This Row],[Shipping costs]]-Table1[[#This Row],[Manufacturing costs]]</f>
        <v>130.58431093300001</v>
      </c>
    </row>
    <row r="89" spans="1:23" ht="14.25" customHeight="1" x14ac:dyDescent="0.25">
      <c r="A89" s="1" t="s">
        <v>29</v>
      </c>
      <c r="B89" s="1" t="s">
        <v>135</v>
      </c>
      <c r="C89" s="2">
        <v>65.88</v>
      </c>
      <c r="D89" s="1">
        <v>92</v>
      </c>
      <c r="E89" s="1">
        <v>511</v>
      </c>
      <c r="F89" s="1">
        <v>4</v>
      </c>
      <c r="G89" s="1">
        <v>41</v>
      </c>
      <c r="H89" s="1" t="str">
        <f>IF(Table1[[#This Row],[Order quantities]]&gt;Table1[[#This Row],[Availability]], "High Risk", "Low Risk")</f>
        <v>Low Risk</v>
      </c>
      <c r="I89" s="1">
        <v>7</v>
      </c>
      <c r="J89" s="1" t="s">
        <v>31</v>
      </c>
      <c r="K89" s="4">
        <v>6.6311372100000003</v>
      </c>
      <c r="L89" s="1" t="s">
        <v>24</v>
      </c>
      <c r="M89" s="1" t="s">
        <v>49</v>
      </c>
      <c r="N89" s="1">
        <v>22</v>
      </c>
      <c r="O89" s="1">
        <v>403</v>
      </c>
      <c r="P89" s="1">
        <v>2</v>
      </c>
      <c r="Q89" s="4">
        <v>56.583951859999999</v>
      </c>
      <c r="R89" s="1" t="s">
        <v>34</v>
      </c>
      <c r="S89" s="3">
        <v>1.002677507</v>
      </c>
      <c r="T89" s="1" t="s">
        <v>35</v>
      </c>
      <c r="U89" s="1" t="s">
        <v>28</v>
      </c>
      <c r="V89" s="4">
        <v>859.228251</v>
      </c>
      <c r="W89" s="8">
        <f>Table1[[#This Row],[Revenue]]-Table1[[#This Row],[Shipping costs]]-Table1[[#This Row],[Manufacturing costs]]</f>
        <v>796.01316193000002</v>
      </c>
    </row>
    <row r="90" spans="1:23" ht="14.25" customHeight="1" x14ac:dyDescent="0.25">
      <c r="A90" s="1" t="s">
        <v>29</v>
      </c>
      <c r="B90" s="1" t="s">
        <v>136</v>
      </c>
      <c r="C90" s="2">
        <v>22.28</v>
      </c>
      <c r="D90" s="1">
        <v>61</v>
      </c>
      <c r="E90" s="1">
        <v>739</v>
      </c>
      <c r="F90" s="1">
        <v>7</v>
      </c>
      <c r="G90" s="1">
        <v>5</v>
      </c>
      <c r="H90" s="1" t="str">
        <f>IF(Table1[[#This Row],[Order quantities]]&gt;Table1[[#This Row],[Availability]], "High Risk", "Low Risk")</f>
        <v>Low Risk</v>
      </c>
      <c r="I90" s="1">
        <v>5</v>
      </c>
      <c r="J90" s="1" t="s">
        <v>43</v>
      </c>
      <c r="K90" s="4">
        <v>5.9547851249999999</v>
      </c>
      <c r="L90" s="1" t="s">
        <v>41</v>
      </c>
      <c r="M90" s="1" t="s">
        <v>55</v>
      </c>
      <c r="N90" s="1">
        <v>23</v>
      </c>
      <c r="O90" s="1">
        <v>214</v>
      </c>
      <c r="P90" s="1">
        <v>29</v>
      </c>
      <c r="Q90" s="4">
        <v>21.199078719999999</v>
      </c>
      <c r="R90" s="1" t="s">
        <v>26</v>
      </c>
      <c r="S90" s="3">
        <v>2.240614179</v>
      </c>
      <c r="T90" s="1" t="s">
        <v>47</v>
      </c>
      <c r="U90" s="1" t="s">
        <v>28</v>
      </c>
      <c r="V90" s="4">
        <v>260.42512959999999</v>
      </c>
      <c r="W90" s="8">
        <f>Table1[[#This Row],[Revenue]]-Table1[[#This Row],[Shipping costs]]-Table1[[#This Row],[Manufacturing costs]]</f>
        <v>233.271265755</v>
      </c>
    </row>
    <row r="91" spans="1:23" ht="14.25" customHeight="1" x14ac:dyDescent="0.25">
      <c r="A91" s="1" t="s">
        <v>29</v>
      </c>
      <c r="B91" s="1" t="s">
        <v>137</v>
      </c>
      <c r="C91" s="2">
        <v>37.840000000000003</v>
      </c>
      <c r="D91" s="1">
        <v>56</v>
      </c>
      <c r="E91" s="1">
        <v>577</v>
      </c>
      <c r="F91" s="1">
        <v>16</v>
      </c>
      <c r="G91" s="1">
        <v>42</v>
      </c>
      <c r="H91" s="1" t="str">
        <f>IF(Table1[[#This Row],[Order quantities]]&gt;Table1[[#This Row],[Availability]], "High Risk", "Low Risk")</f>
        <v>Low Risk</v>
      </c>
      <c r="I91" s="1">
        <v>6</v>
      </c>
      <c r="J91" s="1" t="s">
        <v>31</v>
      </c>
      <c r="K91" s="4">
        <v>4.6662897179999998</v>
      </c>
      <c r="L91" s="1" t="s">
        <v>41</v>
      </c>
      <c r="M91" s="1" t="s">
        <v>49</v>
      </c>
      <c r="N91" s="1">
        <v>30</v>
      </c>
      <c r="O91" s="1">
        <v>309</v>
      </c>
      <c r="P91" s="1">
        <v>16</v>
      </c>
      <c r="Q91" s="4">
        <v>96.597628869999994</v>
      </c>
      <c r="R91" s="1" t="s">
        <v>26</v>
      </c>
      <c r="S91" s="3">
        <v>2.022672295</v>
      </c>
      <c r="T91" s="1" t="s">
        <v>35</v>
      </c>
      <c r="U91" s="1" t="s">
        <v>53</v>
      </c>
      <c r="V91" s="4">
        <v>914.14472780000006</v>
      </c>
      <c r="W91" s="8">
        <f>Table1[[#This Row],[Revenue]]-Table1[[#This Row],[Shipping costs]]-Table1[[#This Row],[Manufacturing costs]]</f>
        <v>812.88080921200003</v>
      </c>
    </row>
    <row r="92" spans="1:23" ht="14.25" customHeight="1" x14ac:dyDescent="0.25">
      <c r="A92" s="1" t="s">
        <v>29</v>
      </c>
      <c r="B92" s="1" t="s">
        <v>138</v>
      </c>
      <c r="C92" s="2">
        <v>90.19</v>
      </c>
      <c r="D92" s="1">
        <v>15</v>
      </c>
      <c r="E92" s="1">
        <v>334</v>
      </c>
      <c r="F92" s="1">
        <v>24</v>
      </c>
      <c r="G92" s="1">
        <v>87</v>
      </c>
      <c r="H92" s="1" t="str">
        <f>IF(Table1[[#This Row],[Order quantities]]&gt;Table1[[#This Row],[Availability]], "High Risk", "Low Risk")</f>
        <v>High Risk</v>
      </c>
      <c r="I92" s="1">
        <v>8</v>
      </c>
      <c r="J92" s="1" t="s">
        <v>23</v>
      </c>
      <c r="K92" s="4">
        <v>5.692393193</v>
      </c>
      <c r="L92" s="1" t="s">
        <v>38</v>
      </c>
      <c r="M92" s="1" t="s">
        <v>62</v>
      </c>
      <c r="N92" s="1">
        <v>5</v>
      </c>
      <c r="O92" s="1">
        <v>140</v>
      </c>
      <c r="P92" s="1">
        <v>7</v>
      </c>
      <c r="Q92" s="4">
        <v>36.09322864</v>
      </c>
      <c r="R92" s="1" t="s">
        <v>51</v>
      </c>
      <c r="S92" s="3">
        <v>2.0855541039999999</v>
      </c>
      <c r="T92" s="1" t="s">
        <v>27</v>
      </c>
      <c r="U92" s="1" t="s">
        <v>28</v>
      </c>
      <c r="V92" s="4">
        <v>406.6001387</v>
      </c>
      <c r="W92" s="8">
        <f>Table1[[#This Row],[Revenue]]-Table1[[#This Row],[Shipping costs]]-Table1[[#This Row],[Manufacturing costs]]</f>
        <v>364.81451686700001</v>
      </c>
    </row>
    <row r="93" spans="1:23" ht="14.25" customHeight="1" x14ac:dyDescent="0.25">
      <c r="A93" s="1" t="s">
        <v>29</v>
      </c>
      <c r="B93" s="1" t="s">
        <v>139</v>
      </c>
      <c r="C93" s="2">
        <v>50.03</v>
      </c>
      <c r="D93" s="1">
        <v>55</v>
      </c>
      <c r="E93" s="1">
        <v>417</v>
      </c>
      <c r="F93" s="1">
        <v>22</v>
      </c>
      <c r="G93" s="1">
        <v>81</v>
      </c>
      <c r="H93" s="1" t="str">
        <f>IF(Table1[[#This Row],[Order quantities]]&gt;Table1[[#This Row],[Availability]], "High Risk", "Low Risk")</f>
        <v>High Risk</v>
      </c>
      <c r="I93" s="1">
        <v>8</v>
      </c>
      <c r="J93" s="1" t="s">
        <v>23</v>
      </c>
      <c r="K93" s="4">
        <v>9.0691719259999992</v>
      </c>
      <c r="L93" s="1" t="s">
        <v>41</v>
      </c>
      <c r="M93" s="1" t="s">
        <v>49</v>
      </c>
      <c r="N93" s="1">
        <v>9</v>
      </c>
      <c r="O93" s="1">
        <v>915</v>
      </c>
      <c r="P93" s="1">
        <v>13</v>
      </c>
      <c r="Q93" s="4">
        <v>86.764978310000004</v>
      </c>
      <c r="R93" s="1" t="s">
        <v>51</v>
      </c>
      <c r="S93" s="3">
        <v>0.715068488</v>
      </c>
      <c r="T93" s="1" t="s">
        <v>27</v>
      </c>
      <c r="U93" s="1" t="s">
        <v>39</v>
      </c>
      <c r="V93" s="4">
        <v>439.4007861</v>
      </c>
      <c r="W93" s="8">
        <f>Table1[[#This Row],[Revenue]]-Table1[[#This Row],[Shipping costs]]-Table1[[#This Row],[Manufacturing costs]]</f>
        <v>343.56663586399998</v>
      </c>
    </row>
    <row r="94" spans="1:23" ht="14.25" customHeight="1" x14ac:dyDescent="0.25">
      <c r="A94" s="1" t="s">
        <v>29</v>
      </c>
      <c r="B94" s="1" t="s">
        <v>140</v>
      </c>
      <c r="C94" s="2">
        <v>68.42</v>
      </c>
      <c r="D94" s="1">
        <v>9</v>
      </c>
      <c r="E94" s="1">
        <v>931</v>
      </c>
      <c r="F94" s="1">
        <v>21</v>
      </c>
      <c r="G94" s="1">
        <v>76</v>
      </c>
      <c r="H94" s="1" t="str">
        <f>IF(Table1[[#This Row],[Order quantities]]&gt;Table1[[#This Row],[Availability]], "High Risk", "Low Risk")</f>
        <v>High Risk</v>
      </c>
      <c r="I94" s="1">
        <v>3</v>
      </c>
      <c r="J94" s="1" t="s">
        <v>31</v>
      </c>
      <c r="K94" s="4">
        <v>2.7666487210000001</v>
      </c>
      <c r="L94" s="1" t="s">
        <v>44</v>
      </c>
      <c r="M94" s="1" t="s">
        <v>55</v>
      </c>
      <c r="N94" s="1">
        <v>21</v>
      </c>
      <c r="O94" s="1">
        <v>272</v>
      </c>
      <c r="P94" s="1">
        <v>5</v>
      </c>
      <c r="Q94" s="4">
        <v>44.886216269999998</v>
      </c>
      <c r="R94" s="1" t="s">
        <v>26</v>
      </c>
      <c r="S94" s="3">
        <v>4.0867170570000004</v>
      </c>
      <c r="T94" s="1" t="s">
        <v>47</v>
      </c>
      <c r="U94" s="1" t="s">
        <v>53</v>
      </c>
      <c r="V94" s="4">
        <v>915.75233409999998</v>
      </c>
      <c r="W94" s="8">
        <f>Table1[[#This Row],[Revenue]]-Table1[[#This Row],[Shipping costs]]-Table1[[#This Row],[Manufacturing costs]]</f>
        <v>868.09946910899998</v>
      </c>
    </row>
    <row r="95" spans="1:23" ht="14.25" customHeight="1" x14ac:dyDescent="0.25">
      <c r="A95" s="1" t="s">
        <v>21</v>
      </c>
      <c r="B95" s="1" t="s">
        <v>141</v>
      </c>
      <c r="C95" s="2">
        <v>21.37</v>
      </c>
      <c r="D95" s="1">
        <v>29</v>
      </c>
      <c r="E95" s="1">
        <v>773</v>
      </c>
      <c r="F95" s="1">
        <v>22</v>
      </c>
      <c r="G95" s="1">
        <v>87</v>
      </c>
      <c r="H95" s="1" t="str">
        <f>IF(Table1[[#This Row],[Order quantities]]&gt;Table1[[#This Row],[Availability]], "High Risk", "Low Risk")</f>
        <v>High Risk</v>
      </c>
      <c r="I95" s="1">
        <v>7</v>
      </c>
      <c r="J95" s="1" t="s">
        <v>31</v>
      </c>
      <c r="K95" s="4">
        <v>1.203080605</v>
      </c>
      <c r="L95" s="1" t="s">
        <v>32</v>
      </c>
      <c r="M95" s="1" t="s">
        <v>49</v>
      </c>
      <c r="N95" s="1">
        <v>11</v>
      </c>
      <c r="O95" s="1">
        <v>333</v>
      </c>
      <c r="P95" s="1">
        <v>17</v>
      </c>
      <c r="Q95" s="4">
        <v>39.087482489999999</v>
      </c>
      <c r="R95" s="1" t="s">
        <v>26</v>
      </c>
      <c r="S95" s="3">
        <v>0.27525459099999999</v>
      </c>
      <c r="T95" s="1" t="s">
        <v>27</v>
      </c>
      <c r="U95" s="1" t="s">
        <v>39</v>
      </c>
      <c r="V95" s="4">
        <v>577.10400849999996</v>
      </c>
      <c r="W95" s="8">
        <f>Table1[[#This Row],[Revenue]]-Table1[[#This Row],[Shipping costs]]-Table1[[#This Row],[Manufacturing costs]]</f>
        <v>536.81344540500004</v>
      </c>
    </row>
    <row r="96" spans="1:23" ht="14.25" customHeight="1" x14ac:dyDescent="0.25">
      <c r="A96" s="1" t="s">
        <v>21</v>
      </c>
      <c r="B96" s="1" t="s">
        <v>142</v>
      </c>
      <c r="C96" s="2">
        <v>23.27</v>
      </c>
      <c r="D96" s="1">
        <v>24</v>
      </c>
      <c r="E96" s="1">
        <v>294</v>
      </c>
      <c r="F96" s="1">
        <v>21</v>
      </c>
      <c r="G96" s="1">
        <v>80</v>
      </c>
      <c r="H96" s="1" t="str">
        <f>IF(Table1[[#This Row],[Order quantities]]&gt;Table1[[#This Row],[Availability]], "High Risk", "Low Risk")</f>
        <v>High Risk</v>
      </c>
      <c r="I96" s="1">
        <v>1</v>
      </c>
      <c r="J96" s="1" t="s">
        <v>43</v>
      </c>
      <c r="K96" s="4">
        <v>8.7549839620000007</v>
      </c>
      <c r="L96" s="1" t="s">
        <v>24</v>
      </c>
      <c r="M96" s="1" t="s">
        <v>62</v>
      </c>
      <c r="N96" s="1">
        <v>5</v>
      </c>
      <c r="O96" s="1">
        <v>892</v>
      </c>
      <c r="P96" s="1">
        <v>21</v>
      </c>
      <c r="Q96" s="4">
        <v>94.164271510000006</v>
      </c>
      <c r="R96" s="1" t="s">
        <v>26</v>
      </c>
      <c r="S96" s="3">
        <v>2.6883103780000002</v>
      </c>
      <c r="T96" s="1" t="s">
        <v>47</v>
      </c>
      <c r="U96" s="1" t="s">
        <v>53</v>
      </c>
      <c r="V96" s="4">
        <v>223.9866365</v>
      </c>
      <c r="W96" s="8">
        <f>Table1[[#This Row],[Revenue]]-Table1[[#This Row],[Shipping costs]]-Table1[[#This Row],[Manufacturing costs]]</f>
        <v>121.06738102799999</v>
      </c>
    </row>
    <row r="97" spans="1:23" ht="14.25" customHeight="1" x14ac:dyDescent="0.25">
      <c r="A97" s="1" t="s">
        <v>21</v>
      </c>
      <c r="B97" s="1" t="s">
        <v>143</v>
      </c>
      <c r="C97" s="2">
        <v>8.8800000000000008</v>
      </c>
      <c r="D97" s="1">
        <v>83</v>
      </c>
      <c r="E97" s="1">
        <v>937</v>
      </c>
      <c r="F97" s="1">
        <v>8</v>
      </c>
      <c r="G97" s="1">
        <v>67</v>
      </c>
      <c r="H97" s="1" t="str">
        <f>IF(Table1[[#This Row],[Order quantities]]&gt;Table1[[#This Row],[Availability]], "High Risk", "Low Risk")</f>
        <v>Low Risk</v>
      </c>
      <c r="I97" s="1">
        <v>1</v>
      </c>
      <c r="J97" s="1" t="s">
        <v>31</v>
      </c>
      <c r="K97" s="4">
        <v>6.1940537410000003</v>
      </c>
      <c r="L97" s="1" t="s">
        <v>44</v>
      </c>
      <c r="M97" s="1" t="s">
        <v>33</v>
      </c>
      <c r="N97" s="1">
        <v>3</v>
      </c>
      <c r="O97" s="1">
        <v>983</v>
      </c>
      <c r="P97" s="1">
        <v>12</v>
      </c>
      <c r="Q97" s="4">
        <v>42.699031490000003</v>
      </c>
      <c r="R97" s="1" t="s">
        <v>37</v>
      </c>
      <c r="S97" s="3">
        <v>3.343204101</v>
      </c>
      <c r="T97" s="1" t="s">
        <v>47</v>
      </c>
      <c r="U97" s="1" t="s">
        <v>53</v>
      </c>
      <c r="V97" s="4">
        <v>432.1505434</v>
      </c>
      <c r="W97" s="8">
        <f>Table1[[#This Row],[Revenue]]-Table1[[#This Row],[Shipping costs]]-Table1[[#This Row],[Manufacturing costs]]</f>
        <v>383.25745816900002</v>
      </c>
    </row>
    <row r="98" spans="1:23" ht="14.25" customHeight="1" x14ac:dyDescent="0.25">
      <c r="A98" s="1" t="s">
        <v>21</v>
      </c>
      <c r="B98" s="1" t="s">
        <v>144</v>
      </c>
      <c r="C98" s="2">
        <v>21.05</v>
      </c>
      <c r="D98" s="1">
        <v>4</v>
      </c>
      <c r="E98" s="1">
        <v>754</v>
      </c>
      <c r="F98" s="1">
        <v>17</v>
      </c>
      <c r="G98" s="1">
        <v>30</v>
      </c>
      <c r="H98" s="1" t="str">
        <f>IF(Table1[[#This Row],[Order quantities]]&gt;Table1[[#This Row],[Availability]], "High Risk", "Low Risk")</f>
        <v>High Risk</v>
      </c>
      <c r="I98" s="1">
        <v>7</v>
      </c>
      <c r="J98" s="1" t="s">
        <v>23</v>
      </c>
      <c r="K98" s="4">
        <v>9.0159260989999996</v>
      </c>
      <c r="L98" s="1" t="s">
        <v>32</v>
      </c>
      <c r="M98" s="1" t="s">
        <v>49</v>
      </c>
      <c r="N98" s="1">
        <v>27</v>
      </c>
      <c r="O98" s="1">
        <v>689</v>
      </c>
      <c r="P98" s="1">
        <v>28</v>
      </c>
      <c r="Q98" s="4">
        <v>45.125911780000003</v>
      </c>
      <c r="R98" s="1" t="s">
        <v>34</v>
      </c>
      <c r="S98" s="3">
        <v>1.116600246</v>
      </c>
      <c r="T98" s="1" t="s">
        <v>27</v>
      </c>
      <c r="U98" s="1" t="s">
        <v>39</v>
      </c>
      <c r="V98" s="4">
        <v>749.88770160000001</v>
      </c>
      <c r="W98" s="8">
        <f>Table1[[#This Row],[Revenue]]-Table1[[#This Row],[Shipping costs]]-Table1[[#This Row],[Manufacturing costs]]</f>
        <v>695.74586372099998</v>
      </c>
    </row>
    <row r="99" spans="1:23" ht="14.25" customHeight="1" x14ac:dyDescent="0.25">
      <c r="A99" s="1" t="s">
        <v>29</v>
      </c>
      <c r="B99" s="1" t="s">
        <v>145</v>
      </c>
      <c r="C99" s="2">
        <v>31.47</v>
      </c>
      <c r="D99" s="1">
        <v>64</v>
      </c>
      <c r="E99" s="1">
        <v>370</v>
      </c>
      <c r="F99" s="1">
        <v>16</v>
      </c>
      <c r="G99" s="1">
        <v>57</v>
      </c>
      <c r="H99" s="1" t="str">
        <f>IF(Table1[[#This Row],[Order quantities]]&gt;Table1[[#This Row],[Availability]], "High Risk", "Low Risk")</f>
        <v>Low Risk</v>
      </c>
      <c r="I99" s="1">
        <v>9</v>
      </c>
      <c r="J99" s="1" t="s">
        <v>23</v>
      </c>
      <c r="K99" s="4">
        <v>6.3725070109999997</v>
      </c>
      <c r="L99" s="1" t="s">
        <v>24</v>
      </c>
      <c r="M99" s="1" t="s">
        <v>33</v>
      </c>
      <c r="N99" s="1">
        <v>17</v>
      </c>
      <c r="O99" s="1">
        <v>719</v>
      </c>
      <c r="P99" s="1">
        <v>19</v>
      </c>
      <c r="Q99" s="4">
        <v>19.548260169999999</v>
      </c>
      <c r="R99" s="1" t="s">
        <v>34</v>
      </c>
      <c r="S99" s="3">
        <v>4.5386659409999996</v>
      </c>
      <c r="T99" s="1" t="s">
        <v>27</v>
      </c>
      <c r="U99" s="1" t="s">
        <v>39</v>
      </c>
      <c r="V99" s="4">
        <v>256.76576929999999</v>
      </c>
      <c r="W99" s="8">
        <f>Table1[[#This Row],[Revenue]]-Table1[[#This Row],[Shipping costs]]-Table1[[#This Row],[Manufacturing costs]]</f>
        <v>230.84500211899999</v>
      </c>
    </row>
    <row r="100" spans="1:23" ht="14.25" customHeight="1" x14ac:dyDescent="0.25">
      <c r="A100" s="1" t="s">
        <v>21</v>
      </c>
      <c r="B100" s="1" t="s">
        <v>146</v>
      </c>
      <c r="C100" s="2">
        <v>21.82</v>
      </c>
      <c r="D100" s="1">
        <v>93</v>
      </c>
      <c r="E100" s="1">
        <v>185</v>
      </c>
      <c r="F100" s="1">
        <v>27</v>
      </c>
      <c r="G100" s="1">
        <v>86</v>
      </c>
      <c r="H100" s="1" t="str">
        <f>IF(Table1[[#This Row],[Order quantities]]&gt;Table1[[#This Row],[Availability]], "High Risk", "Low Risk")</f>
        <v>Low Risk</v>
      </c>
      <c r="I100" s="1">
        <v>7</v>
      </c>
      <c r="J100" s="1" t="s">
        <v>23</v>
      </c>
      <c r="K100" s="4">
        <v>8.2914498099999996</v>
      </c>
      <c r="L100" s="1" t="s">
        <v>32</v>
      </c>
      <c r="M100" s="1" t="s">
        <v>33</v>
      </c>
      <c r="N100" s="1">
        <v>2</v>
      </c>
      <c r="O100" s="1">
        <v>892</v>
      </c>
      <c r="P100" s="1">
        <v>7</v>
      </c>
      <c r="Q100" s="4">
        <v>70.34019988</v>
      </c>
      <c r="R100" s="1" t="s">
        <v>26</v>
      </c>
      <c r="S100" s="3">
        <v>4.208891114</v>
      </c>
      <c r="T100" s="1" t="s">
        <v>47</v>
      </c>
      <c r="U100" s="1" t="s">
        <v>53</v>
      </c>
      <c r="V100" s="4">
        <v>631.20807769999999</v>
      </c>
      <c r="W100" s="8">
        <f>Table1[[#This Row],[Revenue]]-Table1[[#This Row],[Shipping costs]]-Table1[[#This Row],[Manufacturing costs]]</f>
        <v>552.57642800999997</v>
      </c>
    </row>
    <row r="101" spans="1:23" ht="14.25" customHeight="1" x14ac:dyDescent="0.25">
      <c r="A101" s="1" t="s">
        <v>29</v>
      </c>
      <c r="B101" s="1" t="s">
        <v>147</v>
      </c>
      <c r="C101" s="2">
        <v>13.43</v>
      </c>
      <c r="D101" s="1">
        <v>48</v>
      </c>
      <c r="E101" s="1">
        <v>245</v>
      </c>
      <c r="F101" s="1">
        <v>23</v>
      </c>
      <c r="G101" s="1">
        <v>73</v>
      </c>
      <c r="H101" s="1" t="str">
        <f>IF(Table1[[#This Row],[Order quantities]]&gt;Table1[[#This Row],[Availability]], "High Risk", "Low Risk")</f>
        <v>High Risk</v>
      </c>
      <c r="I101" s="1">
        <v>5</v>
      </c>
      <c r="J101" s="1" t="s">
        <v>23</v>
      </c>
      <c r="K101" s="4">
        <v>4.8670602699999996</v>
      </c>
      <c r="L101" s="1" t="s">
        <v>44</v>
      </c>
      <c r="M101" s="1" t="s">
        <v>55</v>
      </c>
      <c r="N101" s="1">
        <v>24</v>
      </c>
      <c r="O101" s="1">
        <v>502</v>
      </c>
      <c r="P101" s="1">
        <v>6</v>
      </c>
      <c r="Q101" s="4">
        <v>35.995547299999998</v>
      </c>
      <c r="R101" s="1" t="s">
        <v>34</v>
      </c>
      <c r="S101" s="3">
        <v>2.4083102740000002</v>
      </c>
      <c r="T101" s="1" t="s">
        <v>47</v>
      </c>
      <c r="U101" s="1" t="s">
        <v>53</v>
      </c>
      <c r="V101" s="4">
        <v>725.74671969999997</v>
      </c>
      <c r="W101" s="8">
        <f>Table1[[#This Row],[Revenue]]-Table1[[#This Row],[Shipping costs]]-Table1[[#This Row],[Manufacturing costs]]</f>
        <v>684.88411212999995</v>
      </c>
    </row>
    <row r="102" spans="1:23" ht="14.25" customHeight="1" x14ac:dyDescent="0.25">
      <c r="A102" s="1" t="s">
        <v>29</v>
      </c>
      <c r="B102" s="1" t="s">
        <v>148</v>
      </c>
      <c r="C102" s="2">
        <v>16.46</v>
      </c>
      <c r="D102" s="1">
        <v>2</v>
      </c>
      <c r="E102" s="1">
        <v>636</v>
      </c>
      <c r="F102" s="1">
        <v>10</v>
      </c>
      <c r="G102" s="1">
        <v>29</v>
      </c>
      <c r="H102" s="1" t="str">
        <f>IF(Table1[[#This Row],[Order quantities]]&gt;Table1[[#This Row],[Availability]], "High Risk", "Low Risk")</f>
        <v>High Risk</v>
      </c>
      <c r="I102" s="1">
        <v>8</v>
      </c>
      <c r="J102" s="1" t="s">
        <v>43</v>
      </c>
      <c r="K102" s="4">
        <v>7.7487393820000001</v>
      </c>
      <c r="L102" s="1" t="s">
        <v>41</v>
      </c>
      <c r="M102" s="1" t="s">
        <v>49</v>
      </c>
      <c r="N102" s="1">
        <v>1</v>
      </c>
      <c r="O102" s="1">
        <v>138</v>
      </c>
      <c r="P102" s="1">
        <v>8</v>
      </c>
      <c r="Q102" s="4">
        <v>62.704375110000001</v>
      </c>
      <c r="R102" s="1" t="s">
        <v>26</v>
      </c>
      <c r="S102" s="3">
        <v>2.1146297679999999</v>
      </c>
      <c r="T102" s="1" t="s">
        <v>47</v>
      </c>
      <c r="U102" s="1" t="s">
        <v>28</v>
      </c>
      <c r="V102" s="4">
        <v>409.46821799999998</v>
      </c>
      <c r="W102" s="8">
        <f>Table1[[#This Row],[Revenue]]-Table1[[#This Row],[Shipping costs]]-Table1[[#This Row],[Manufacturing costs]]</f>
        <v>339.01510350799998</v>
      </c>
    </row>
    <row r="103" spans="1:23" ht="14.25" customHeight="1" x14ac:dyDescent="0.25">
      <c r="A103" s="1" t="s">
        <v>21</v>
      </c>
      <c r="B103" s="1" t="s">
        <v>149</v>
      </c>
      <c r="C103" s="2">
        <v>48.77</v>
      </c>
      <c r="D103" s="1">
        <v>44</v>
      </c>
      <c r="E103" s="1">
        <v>267</v>
      </c>
      <c r="F103" s="1">
        <v>10</v>
      </c>
      <c r="G103" s="1">
        <v>37</v>
      </c>
      <c r="H103" s="1" t="str">
        <f>IF(Table1[[#This Row],[Order quantities]]&gt;Table1[[#This Row],[Availability]], "High Risk", "Low Risk")</f>
        <v>Low Risk</v>
      </c>
      <c r="I103" s="1">
        <v>2</v>
      </c>
      <c r="J103" s="1" t="s">
        <v>31</v>
      </c>
      <c r="K103" s="4">
        <v>9.2173732019999992</v>
      </c>
      <c r="L103" s="1" t="s">
        <v>38</v>
      </c>
      <c r="M103" s="1" t="s">
        <v>55</v>
      </c>
      <c r="N103" s="1">
        <v>7</v>
      </c>
      <c r="O103" s="1">
        <v>218</v>
      </c>
      <c r="P103" s="1">
        <v>13</v>
      </c>
      <c r="Q103" s="4">
        <v>63.221653369999999</v>
      </c>
      <c r="R103" s="1" t="s">
        <v>51</v>
      </c>
      <c r="S103" s="3">
        <v>1.259182834</v>
      </c>
      <c r="T103" s="1" t="s">
        <v>27</v>
      </c>
      <c r="U103" s="1" t="s">
        <v>39</v>
      </c>
      <c r="V103" s="4">
        <v>724.49261980000006</v>
      </c>
      <c r="W103" s="8">
        <f>Table1[[#This Row],[Revenue]]-Table1[[#This Row],[Shipping costs]]-Table1[[#This Row],[Manufacturing costs]]</f>
        <v>652.05359322800007</v>
      </c>
    </row>
    <row r="104" spans="1:23" ht="14.25" customHeight="1" x14ac:dyDescent="0.25">
      <c r="A104" s="1" t="s">
        <v>21</v>
      </c>
      <c r="B104" s="1" t="s">
        <v>150</v>
      </c>
      <c r="C104" s="2">
        <v>24.6</v>
      </c>
      <c r="D104" s="1">
        <v>13</v>
      </c>
      <c r="E104" s="1">
        <v>642</v>
      </c>
      <c r="F104" s="1">
        <v>27</v>
      </c>
      <c r="G104" s="1">
        <v>87</v>
      </c>
      <c r="H104" s="1" t="str">
        <f>IF(Table1[[#This Row],[Order quantities]]&gt;Table1[[#This Row],[Availability]], "High Risk", "Low Risk")</f>
        <v>High Risk</v>
      </c>
      <c r="I104" s="1">
        <v>9</v>
      </c>
      <c r="J104" s="1" t="s">
        <v>23</v>
      </c>
      <c r="K104" s="4">
        <v>6.1491066730000004</v>
      </c>
      <c r="L104" s="1" t="s">
        <v>24</v>
      </c>
      <c r="M104" s="1" t="s">
        <v>33</v>
      </c>
      <c r="N104" s="1">
        <v>30</v>
      </c>
      <c r="O104" s="1">
        <v>434</v>
      </c>
      <c r="P104" s="1">
        <v>5</v>
      </c>
      <c r="Q104" s="4">
        <v>74.727972600000001</v>
      </c>
      <c r="R104" s="1" t="s">
        <v>34</v>
      </c>
      <c r="S104" s="3">
        <v>3.6769668009999998</v>
      </c>
      <c r="T104" s="1" t="s">
        <v>27</v>
      </c>
      <c r="U104" s="1" t="s">
        <v>28</v>
      </c>
      <c r="V104" s="4">
        <v>895.7866166</v>
      </c>
      <c r="W104" s="8">
        <f>Table1[[#This Row],[Revenue]]-Table1[[#This Row],[Shipping costs]]-Table1[[#This Row],[Manufacturing costs]]</f>
        <v>814.90953732699995</v>
      </c>
    </row>
    <row r="105" spans="1:23" ht="14.25" customHeight="1" x14ac:dyDescent="0.25">
      <c r="A105" s="1" t="s">
        <v>29</v>
      </c>
      <c r="B105" s="1" t="s">
        <v>151</v>
      </c>
      <c r="C105" s="2">
        <v>39.61</v>
      </c>
      <c r="D105" s="1">
        <v>29</v>
      </c>
      <c r="E105" s="1">
        <v>236</v>
      </c>
      <c r="F105" s="1">
        <v>2</v>
      </c>
      <c r="G105" s="1">
        <v>13</v>
      </c>
      <c r="H105" s="1" t="str">
        <f>IF(Table1[[#This Row],[Order quantities]]&gt;Table1[[#This Row],[Availability]], "High Risk", "Low Risk")</f>
        <v>Low Risk</v>
      </c>
      <c r="I105" s="1">
        <v>6</v>
      </c>
      <c r="J105" s="1" t="s">
        <v>43</v>
      </c>
      <c r="K105" s="4">
        <v>2.6270663550000002</v>
      </c>
      <c r="L105" s="1" t="s">
        <v>38</v>
      </c>
      <c r="M105" s="1" t="s">
        <v>46</v>
      </c>
      <c r="N105" s="1">
        <v>14</v>
      </c>
      <c r="O105" s="1">
        <v>435</v>
      </c>
      <c r="P105" s="1">
        <v>2</v>
      </c>
      <c r="Q105" s="4">
        <v>77.071733760000001</v>
      </c>
      <c r="R105" s="1" t="s">
        <v>51</v>
      </c>
      <c r="S105" s="3">
        <v>0.74554461800000005</v>
      </c>
      <c r="T105" s="1" t="s">
        <v>27</v>
      </c>
      <c r="U105" s="1" t="s">
        <v>39</v>
      </c>
      <c r="V105" s="4">
        <v>524.90506979999998</v>
      </c>
      <c r="W105" s="8">
        <f>Table1[[#This Row],[Revenue]]-Table1[[#This Row],[Shipping costs]]-Table1[[#This Row],[Manufacturing costs]]</f>
        <v>445.20626968499994</v>
      </c>
    </row>
    <row r="106" spans="1:23" ht="14.25" customHeight="1" x14ac:dyDescent="0.25">
      <c r="A106" s="1" t="s">
        <v>21</v>
      </c>
      <c r="B106" s="1" t="s">
        <v>152</v>
      </c>
      <c r="C106" s="2">
        <v>52.82</v>
      </c>
      <c r="D106" s="1">
        <v>67</v>
      </c>
      <c r="E106" s="1">
        <v>529</v>
      </c>
      <c r="F106" s="1">
        <v>30</v>
      </c>
      <c r="G106" s="1">
        <v>32</v>
      </c>
      <c r="H106" s="1" t="str">
        <f>IF(Table1[[#This Row],[Order quantities]]&gt;Table1[[#This Row],[Availability]], "High Risk", "Low Risk")</f>
        <v>Low Risk</v>
      </c>
      <c r="I106" s="1">
        <v>9</v>
      </c>
      <c r="J106" s="1" t="s">
        <v>23</v>
      </c>
      <c r="K106" s="4">
        <v>3.4191785349999999</v>
      </c>
      <c r="L106" s="1" t="s">
        <v>41</v>
      </c>
      <c r="M106" s="1" t="s">
        <v>33</v>
      </c>
      <c r="N106" s="1">
        <v>5</v>
      </c>
      <c r="O106" s="1">
        <v>638</v>
      </c>
      <c r="P106" s="1">
        <v>9</v>
      </c>
      <c r="Q106" s="4">
        <v>56.300719100000002</v>
      </c>
      <c r="R106" s="1" t="s">
        <v>51</v>
      </c>
      <c r="S106" s="3">
        <v>3.4331649940000002</v>
      </c>
      <c r="T106" s="1" t="s">
        <v>27</v>
      </c>
      <c r="U106" s="1" t="s">
        <v>39</v>
      </c>
      <c r="V106" s="4">
        <v>444.6183954</v>
      </c>
      <c r="W106" s="8">
        <f>Table1[[#This Row],[Revenue]]-Table1[[#This Row],[Shipping costs]]-Table1[[#This Row],[Manufacturing costs]]</f>
        <v>384.898497765</v>
      </c>
    </row>
    <row r="107" spans="1:23" ht="14.25" customHeight="1" x14ac:dyDescent="0.25">
      <c r="A107" s="1" t="s">
        <v>21</v>
      </c>
      <c r="B107" s="1" t="s">
        <v>153</v>
      </c>
      <c r="C107" s="2">
        <v>70.59</v>
      </c>
      <c r="D107" s="1">
        <v>17</v>
      </c>
      <c r="E107" s="1">
        <v>551</v>
      </c>
      <c r="F107" s="1">
        <v>9</v>
      </c>
      <c r="G107" s="1">
        <v>46</v>
      </c>
      <c r="H107" s="1" t="str">
        <f>IF(Table1[[#This Row],[Order quantities]]&gt;Table1[[#This Row],[Availability]], "High Risk", "Low Risk")</f>
        <v>High Risk</v>
      </c>
      <c r="I107" s="1">
        <v>2</v>
      </c>
      <c r="J107" s="1" t="s">
        <v>31</v>
      </c>
      <c r="K107" s="4">
        <v>2.7878011919999999</v>
      </c>
      <c r="L107" s="1" t="s">
        <v>44</v>
      </c>
      <c r="M107" s="1" t="s">
        <v>55</v>
      </c>
      <c r="N107" s="1">
        <v>19</v>
      </c>
      <c r="O107" s="1">
        <v>715</v>
      </c>
      <c r="P107" s="1">
        <v>30</v>
      </c>
      <c r="Q107" s="4">
        <v>39.789275279999998</v>
      </c>
      <c r="R107" s="1" t="s">
        <v>26</v>
      </c>
      <c r="S107" s="3">
        <v>4.2280392320000004</v>
      </c>
      <c r="T107" s="1" t="s">
        <v>35</v>
      </c>
      <c r="U107" s="1" t="s">
        <v>39</v>
      </c>
      <c r="V107" s="4">
        <v>326.04256120000002</v>
      </c>
      <c r="W107" s="8">
        <f>Table1[[#This Row],[Revenue]]-Table1[[#This Row],[Shipping costs]]-Table1[[#This Row],[Manufacturing costs]]</f>
        <v>283.46548472799998</v>
      </c>
    </row>
    <row r="108" spans="1:23" ht="14.25" customHeight="1" x14ac:dyDescent="0.25">
      <c r="A108" s="1" t="s">
        <v>21</v>
      </c>
      <c r="B108" s="1" t="s">
        <v>154</v>
      </c>
      <c r="C108" s="2">
        <v>8.73</v>
      </c>
      <c r="D108" s="1">
        <v>61</v>
      </c>
      <c r="E108" s="1">
        <v>20</v>
      </c>
      <c r="F108" s="1">
        <v>17</v>
      </c>
      <c r="G108" s="1">
        <v>23</v>
      </c>
      <c r="H108" s="1" t="str">
        <f>IF(Table1[[#This Row],[Order quantities]]&gt;Table1[[#This Row],[Availability]], "High Risk", "Low Risk")</f>
        <v>Low Risk</v>
      </c>
      <c r="I108" s="1">
        <v>3</v>
      </c>
      <c r="J108" s="1" t="s">
        <v>31</v>
      </c>
      <c r="K108" s="4">
        <v>3.2217132479999999</v>
      </c>
      <c r="L108" s="1" t="s">
        <v>44</v>
      </c>
      <c r="M108" s="1" t="s">
        <v>49</v>
      </c>
      <c r="N108" s="1">
        <v>28</v>
      </c>
      <c r="O108" s="1">
        <v>173</v>
      </c>
      <c r="P108" s="1">
        <v>11</v>
      </c>
      <c r="Q108" s="4">
        <v>85.370580540000006</v>
      </c>
      <c r="R108" s="1" t="s">
        <v>26</v>
      </c>
      <c r="S108" s="3">
        <v>1.2195107220000001</v>
      </c>
      <c r="T108" s="1" t="s">
        <v>27</v>
      </c>
      <c r="U108" s="1" t="s">
        <v>39</v>
      </c>
      <c r="V108" s="4">
        <v>643.78493189999995</v>
      </c>
      <c r="W108" s="8">
        <f>Table1[[#This Row],[Revenue]]-Table1[[#This Row],[Shipping costs]]-Table1[[#This Row],[Manufacturing costs]]</f>
        <v>555.19263811199994</v>
      </c>
    </row>
    <row r="109" spans="1:23" ht="14.25" customHeight="1" x14ac:dyDescent="0.25">
      <c r="A109" s="1" t="s">
        <v>21</v>
      </c>
      <c r="B109" s="1" t="s">
        <v>155</v>
      </c>
      <c r="C109" s="2">
        <v>80.94</v>
      </c>
      <c r="D109" s="1">
        <v>36</v>
      </c>
      <c r="E109" s="1">
        <v>910</v>
      </c>
      <c r="F109" s="1">
        <v>11</v>
      </c>
      <c r="G109" s="1">
        <v>45</v>
      </c>
      <c r="H109" s="1" t="str">
        <f>IF(Table1[[#This Row],[Order quantities]]&gt;Table1[[#This Row],[Availability]], "High Risk", "Low Risk")</f>
        <v>High Risk</v>
      </c>
      <c r="I109" s="1">
        <v>8</v>
      </c>
      <c r="J109" s="1" t="s">
        <v>37</v>
      </c>
      <c r="K109" s="4">
        <v>3.757739044</v>
      </c>
      <c r="L109" s="1" t="s">
        <v>24</v>
      </c>
      <c r="M109" s="1" t="s">
        <v>62</v>
      </c>
      <c r="N109" s="1">
        <v>28</v>
      </c>
      <c r="O109" s="1">
        <v>290</v>
      </c>
      <c r="P109" s="1">
        <v>24</v>
      </c>
      <c r="Q109" s="4">
        <v>37.887908449999998</v>
      </c>
      <c r="R109" s="1" t="s">
        <v>51</v>
      </c>
      <c r="S109" s="3">
        <v>4.345494274</v>
      </c>
      <c r="T109" s="1" t="s">
        <v>35</v>
      </c>
      <c r="U109" s="1" t="s">
        <v>28</v>
      </c>
      <c r="V109" s="4">
        <v>891.86684319999995</v>
      </c>
      <c r="W109" s="8">
        <f>Table1[[#This Row],[Revenue]]-Table1[[#This Row],[Shipping costs]]-Table1[[#This Row],[Manufacturing costs]]</f>
        <v>850.22119570599989</v>
      </c>
    </row>
    <row r="110" spans="1:23" ht="14.25" customHeight="1" x14ac:dyDescent="0.25">
      <c r="A110" s="1" t="s">
        <v>29</v>
      </c>
      <c r="B110" s="1" t="s">
        <v>156</v>
      </c>
      <c r="C110" s="2">
        <v>64.650000000000006</v>
      </c>
      <c r="D110" s="1">
        <v>24</v>
      </c>
      <c r="E110" s="1">
        <v>736</v>
      </c>
      <c r="F110" s="1">
        <v>10</v>
      </c>
      <c r="G110" s="1">
        <v>17</v>
      </c>
      <c r="H110" s="1" t="str">
        <f>IF(Table1[[#This Row],[Order quantities]]&gt;Table1[[#This Row],[Availability]], "High Risk", "Low Risk")</f>
        <v>Low Risk</v>
      </c>
      <c r="I110" s="1">
        <v>1</v>
      </c>
      <c r="J110" s="1" t="s">
        <v>31</v>
      </c>
      <c r="K110" s="4">
        <v>5.9962040810000001</v>
      </c>
      <c r="L110" s="1" t="s">
        <v>38</v>
      </c>
      <c r="M110" s="1" t="s">
        <v>55</v>
      </c>
      <c r="N110" s="1">
        <v>11</v>
      </c>
      <c r="O110" s="1">
        <v>423</v>
      </c>
      <c r="P110" s="1">
        <v>6</v>
      </c>
      <c r="Q110" s="4">
        <v>55.675818499999998</v>
      </c>
      <c r="R110" s="1" t="s">
        <v>34</v>
      </c>
      <c r="S110" s="3">
        <v>0.26328367699999999</v>
      </c>
      <c r="T110" s="1" t="s">
        <v>35</v>
      </c>
      <c r="U110" s="1" t="s">
        <v>37</v>
      </c>
      <c r="V110" s="4">
        <v>392.19514049999998</v>
      </c>
      <c r="W110" s="8">
        <f>Table1[[#This Row],[Revenue]]-Table1[[#This Row],[Shipping costs]]-Table1[[#This Row],[Manufacturing costs]]</f>
        <v>330.52311791900001</v>
      </c>
    </row>
    <row r="111" spans="1:23" ht="14.25" customHeight="1" x14ac:dyDescent="0.25">
      <c r="A111" s="1" t="s">
        <v>29</v>
      </c>
      <c r="B111" s="1" t="s">
        <v>157</v>
      </c>
      <c r="C111" s="2">
        <v>12.77</v>
      </c>
      <c r="D111" s="1">
        <v>47</v>
      </c>
      <c r="E111" s="1">
        <v>866</v>
      </c>
      <c r="F111" s="1">
        <v>22</v>
      </c>
      <c r="G111" s="1">
        <v>85</v>
      </c>
      <c r="H111" s="1" t="str">
        <f>IF(Table1[[#This Row],[Order quantities]]&gt;Table1[[#This Row],[Availability]], "High Risk", "Low Risk")</f>
        <v>High Risk</v>
      </c>
      <c r="I111" s="1">
        <v>7</v>
      </c>
      <c r="J111" s="1" t="s">
        <v>37</v>
      </c>
      <c r="K111" s="4">
        <v>6.2919246649999998</v>
      </c>
      <c r="L111" s="1" t="s">
        <v>41</v>
      </c>
      <c r="M111" s="1" t="s">
        <v>55</v>
      </c>
      <c r="N111" s="1">
        <v>23</v>
      </c>
      <c r="O111" s="1">
        <v>246</v>
      </c>
      <c r="P111" s="1">
        <v>29</v>
      </c>
      <c r="Q111" s="4">
        <v>46.112732489999999</v>
      </c>
      <c r="R111" s="1" t="s">
        <v>34</v>
      </c>
      <c r="S111" s="3">
        <v>4.5726581880000001</v>
      </c>
      <c r="T111" s="1" t="s">
        <v>27</v>
      </c>
      <c r="U111" s="1" t="s">
        <v>53</v>
      </c>
      <c r="V111" s="4">
        <v>456.6119721</v>
      </c>
      <c r="W111" s="8">
        <f>Table1[[#This Row],[Revenue]]-Table1[[#This Row],[Shipping costs]]-Table1[[#This Row],[Manufacturing costs]]</f>
        <v>404.20731494500001</v>
      </c>
    </row>
    <row r="112" spans="1:23" ht="14.25" customHeight="1" x14ac:dyDescent="0.25">
      <c r="A112" s="1" t="s">
        <v>29</v>
      </c>
      <c r="B112" s="1" t="s">
        <v>158</v>
      </c>
      <c r="C112" s="2">
        <v>87.99</v>
      </c>
      <c r="D112" s="1">
        <v>64</v>
      </c>
      <c r="E112" s="1">
        <v>793</v>
      </c>
      <c r="F112" s="1">
        <v>25</v>
      </c>
      <c r="G112" s="1">
        <v>66</v>
      </c>
      <c r="H112" s="1" t="str">
        <f>IF(Table1[[#This Row],[Order quantities]]&gt;Table1[[#This Row],[Availability]], "High Risk", "Low Risk")</f>
        <v>High Risk</v>
      </c>
      <c r="I112" s="1">
        <v>7</v>
      </c>
      <c r="J112" s="1" t="s">
        <v>37</v>
      </c>
      <c r="K112" s="4">
        <v>4.8384977249999999</v>
      </c>
      <c r="L112" s="1" t="s">
        <v>24</v>
      </c>
      <c r="M112" s="1" t="s">
        <v>55</v>
      </c>
      <c r="N112" s="1">
        <v>25</v>
      </c>
      <c r="O112" s="1">
        <v>866</v>
      </c>
      <c r="P112" s="1">
        <v>26</v>
      </c>
      <c r="Q112" s="4">
        <v>86.957054740000004</v>
      </c>
      <c r="R112" s="1" t="s">
        <v>51</v>
      </c>
      <c r="S112" s="3">
        <v>0.67997491600000004</v>
      </c>
      <c r="T112" s="1" t="s">
        <v>47</v>
      </c>
      <c r="U112" s="1" t="s">
        <v>39</v>
      </c>
      <c r="V112" s="4">
        <v>465.96296580000001</v>
      </c>
      <c r="W112" s="8">
        <f>Table1[[#This Row],[Revenue]]-Table1[[#This Row],[Shipping costs]]-Table1[[#This Row],[Manufacturing costs]]</f>
        <v>374.16741333499999</v>
      </c>
    </row>
    <row r="113" spans="1:23" ht="14.25" customHeight="1" x14ac:dyDescent="0.25">
      <c r="A113" s="1" t="s">
        <v>29</v>
      </c>
      <c r="B113" s="1" t="s">
        <v>159</v>
      </c>
      <c r="C113" s="2">
        <v>92.48</v>
      </c>
      <c r="D113" s="1">
        <v>52</v>
      </c>
      <c r="E113" s="1">
        <v>519</v>
      </c>
      <c r="F113" s="1">
        <v>17</v>
      </c>
      <c r="G113" s="1">
        <v>6</v>
      </c>
      <c r="H113" s="1" t="str">
        <f>IF(Table1[[#This Row],[Order quantities]]&gt;Table1[[#This Row],[Availability]], "High Risk", "Low Risk")</f>
        <v>Low Risk</v>
      </c>
      <c r="I113" s="1">
        <v>1</v>
      </c>
      <c r="J113" s="1" t="s">
        <v>23</v>
      </c>
      <c r="K113" s="4">
        <v>6.5387870179999998</v>
      </c>
      <c r="L113" s="1" t="s">
        <v>32</v>
      </c>
      <c r="M113" s="1" t="s">
        <v>62</v>
      </c>
      <c r="N113" s="1">
        <v>2</v>
      </c>
      <c r="O113" s="1">
        <v>383</v>
      </c>
      <c r="P113" s="1">
        <v>7</v>
      </c>
      <c r="Q113" s="4">
        <v>48.872667800000002</v>
      </c>
      <c r="R113" s="1" t="s">
        <v>51</v>
      </c>
      <c r="S113" s="3">
        <v>3.2642199719999998</v>
      </c>
      <c r="T113" s="1" t="s">
        <v>35</v>
      </c>
      <c r="U113" s="1" t="s">
        <v>28</v>
      </c>
      <c r="V113" s="4">
        <v>604.73110759999997</v>
      </c>
      <c r="W113" s="8">
        <f>Table1[[#This Row],[Revenue]]-Table1[[#This Row],[Shipping costs]]-Table1[[#This Row],[Manufacturing costs]]</f>
        <v>549.31965278199993</v>
      </c>
    </row>
    <row r="114" spans="1:23" ht="14.25" customHeight="1" x14ac:dyDescent="0.25">
      <c r="A114" s="1" t="s">
        <v>29</v>
      </c>
      <c r="B114" s="1" t="s">
        <v>160</v>
      </c>
      <c r="C114" s="2">
        <v>10.8</v>
      </c>
      <c r="D114" s="1">
        <v>78</v>
      </c>
      <c r="E114" s="1">
        <v>99</v>
      </c>
      <c r="F114" s="1">
        <v>4</v>
      </c>
      <c r="G114" s="1">
        <v>18</v>
      </c>
      <c r="H114" s="1" t="str">
        <f>IF(Table1[[#This Row],[Order quantities]]&gt;Table1[[#This Row],[Availability]], "High Risk", "Low Risk")</f>
        <v>Low Risk</v>
      </c>
      <c r="I114" s="1">
        <v>9</v>
      </c>
      <c r="J114" s="1" t="s">
        <v>23</v>
      </c>
      <c r="K114" s="4">
        <v>1.734174331</v>
      </c>
      <c r="L114" s="1" t="s">
        <v>24</v>
      </c>
      <c r="M114" s="1" t="s">
        <v>33</v>
      </c>
      <c r="N114" s="1">
        <v>8</v>
      </c>
      <c r="O114" s="1">
        <v>312</v>
      </c>
      <c r="P114" s="1">
        <v>25</v>
      </c>
      <c r="Q114" s="4">
        <v>44.748927000000002</v>
      </c>
      <c r="R114" s="1" t="s">
        <v>26</v>
      </c>
      <c r="S114" s="3">
        <v>1.3254040979999999</v>
      </c>
      <c r="T114" s="1" t="s">
        <v>35</v>
      </c>
      <c r="U114" s="1" t="s">
        <v>28</v>
      </c>
      <c r="V114" s="4">
        <v>305.56806540000002</v>
      </c>
      <c r="W114" s="8">
        <f>Table1[[#This Row],[Revenue]]-Table1[[#This Row],[Shipping costs]]-Table1[[#This Row],[Manufacturing costs]]</f>
        <v>259.08496406900002</v>
      </c>
    </row>
    <row r="115" spans="1:23" ht="14.25" customHeight="1" x14ac:dyDescent="0.25">
      <c r="A115" s="1" t="s">
        <v>21</v>
      </c>
      <c r="B115" s="1" t="s">
        <v>161</v>
      </c>
      <c r="C115" s="2">
        <v>31.3</v>
      </c>
      <c r="D115" s="1">
        <v>72</v>
      </c>
      <c r="E115" s="1">
        <v>751</v>
      </c>
      <c r="F115" s="1">
        <v>16</v>
      </c>
      <c r="G115" s="1">
        <v>94</v>
      </c>
      <c r="H115" s="1" t="str">
        <f>IF(Table1[[#This Row],[Order quantities]]&gt;Table1[[#This Row],[Availability]], "High Risk", "Low Risk")</f>
        <v>High Risk</v>
      </c>
      <c r="I115" s="1">
        <v>8</v>
      </c>
      <c r="J115" s="1" t="s">
        <v>43</v>
      </c>
      <c r="K115" s="4">
        <v>1.7900941340000001</v>
      </c>
      <c r="L115" s="1" t="s">
        <v>32</v>
      </c>
      <c r="M115" s="1" t="s">
        <v>33</v>
      </c>
      <c r="N115" s="1">
        <v>9</v>
      </c>
      <c r="O115" s="1">
        <v>734</v>
      </c>
      <c r="P115" s="1">
        <v>7</v>
      </c>
      <c r="Q115" s="4">
        <v>72.084132359999998</v>
      </c>
      <c r="R115" s="1" t="s">
        <v>26</v>
      </c>
      <c r="S115" s="3">
        <v>4.1991067170000003</v>
      </c>
      <c r="T115" s="1" t="s">
        <v>47</v>
      </c>
      <c r="U115" s="1" t="s">
        <v>39</v>
      </c>
      <c r="V115" s="4">
        <v>839.99003979999998</v>
      </c>
      <c r="W115" s="8">
        <f>Table1[[#This Row],[Revenue]]-Table1[[#This Row],[Shipping costs]]-Table1[[#This Row],[Manufacturing costs]]</f>
        <v>766.11581330599995</v>
      </c>
    </row>
    <row r="116" spans="1:23" ht="14.25" customHeight="1" x14ac:dyDescent="0.25">
      <c r="A116" s="1" t="s">
        <v>29</v>
      </c>
      <c r="B116" s="1" t="s">
        <v>162</v>
      </c>
      <c r="C116" s="2">
        <v>81.59</v>
      </c>
      <c r="D116" s="1">
        <v>14</v>
      </c>
      <c r="E116" s="1">
        <v>477</v>
      </c>
      <c r="F116" s="1">
        <v>20</v>
      </c>
      <c r="G116" s="1">
        <v>22</v>
      </c>
      <c r="H116" s="1" t="str">
        <f>IF(Table1[[#This Row],[Order quantities]]&gt;Table1[[#This Row],[Availability]], "High Risk", "Low Risk")</f>
        <v>High Risk</v>
      </c>
      <c r="I116" s="1">
        <v>4</v>
      </c>
      <c r="J116" s="1" t="s">
        <v>23</v>
      </c>
      <c r="K116" s="4">
        <v>2.5464651429999998</v>
      </c>
      <c r="L116" s="1" t="s">
        <v>24</v>
      </c>
      <c r="M116" s="1" t="s">
        <v>55</v>
      </c>
      <c r="N116" s="1">
        <v>27</v>
      </c>
      <c r="O116" s="1">
        <v>817</v>
      </c>
      <c r="P116" s="1">
        <v>19</v>
      </c>
      <c r="Q116" s="4">
        <v>64.219699890000001</v>
      </c>
      <c r="R116" s="1" t="s">
        <v>37</v>
      </c>
      <c r="S116" s="3">
        <v>2.610271768</v>
      </c>
      <c r="T116" s="1" t="s">
        <v>35</v>
      </c>
      <c r="U116" s="1" t="s">
        <v>53</v>
      </c>
      <c r="V116" s="4">
        <v>366.04204979999997</v>
      </c>
      <c r="W116" s="8">
        <f>Table1[[#This Row],[Revenue]]-Table1[[#This Row],[Shipping costs]]-Table1[[#This Row],[Manufacturing costs]]</f>
        <v>299.27588476699998</v>
      </c>
    </row>
    <row r="117" spans="1:23" ht="14.25" customHeight="1" x14ac:dyDescent="0.25">
      <c r="A117" s="1" t="s">
        <v>29</v>
      </c>
      <c r="B117" s="1" t="s">
        <v>163</v>
      </c>
      <c r="C117" s="2">
        <v>22.53</v>
      </c>
      <c r="D117" s="1">
        <v>87</v>
      </c>
      <c r="E117" s="1">
        <v>297</v>
      </c>
      <c r="F117" s="1">
        <v>25</v>
      </c>
      <c r="G117" s="1">
        <v>30</v>
      </c>
      <c r="H117" s="1" t="str">
        <f>IF(Table1[[#This Row],[Order quantities]]&gt;Table1[[#This Row],[Availability]], "High Risk", "Low Risk")</f>
        <v>Low Risk</v>
      </c>
      <c r="I117" s="1">
        <v>2</v>
      </c>
      <c r="J117" s="1" t="s">
        <v>43</v>
      </c>
      <c r="K117" s="4">
        <v>2.9259521080000002</v>
      </c>
      <c r="L117" s="1" t="s">
        <v>38</v>
      </c>
      <c r="M117" s="1" t="s">
        <v>62</v>
      </c>
      <c r="N117" s="1">
        <v>2</v>
      </c>
      <c r="O117" s="1">
        <v>493</v>
      </c>
      <c r="P117" s="1">
        <v>11</v>
      </c>
      <c r="Q117" s="4">
        <v>55.735192570000002</v>
      </c>
      <c r="R117" s="1" t="s">
        <v>34</v>
      </c>
      <c r="S117" s="3">
        <v>2.8978586989999999</v>
      </c>
      <c r="T117" s="1" t="s">
        <v>47</v>
      </c>
      <c r="U117" s="1" t="s">
        <v>37</v>
      </c>
      <c r="V117" s="4">
        <v>561.89416759999995</v>
      </c>
      <c r="W117" s="8">
        <f>Table1[[#This Row],[Revenue]]-Table1[[#This Row],[Shipping costs]]-Table1[[#This Row],[Manufacturing costs]]</f>
        <v>503.23302292199992</v>
      </c>
    </row>
    <row r="118" spans="1:23" ht="14.25" customHeight="1" x14ac:dyDescent="0.25">
      <c r="A118" s="1" t="s">
        <v>29</v>
      </c>
      <c r="B118" s="1" t="s">
        <v>164</v>
      </c>
      <c r="C118" s="2">
        <v>24.89</v>
      </c>
      <c r="D118" s="1">
        <v>67</v>
      </c>
      <c r="E118" s="1">
        <v>939</v>
      </c>
      <c r="F118" s="1">
        <v>27</v>
      </c>
      <c r="G118" s="1">
        <v>81</v>
      </c>
      <c r="H118" s="1" t="str">
        <f>IF(Table1[[#This Row],[Order quantities]]&gt;Table1[[#This Row],[Availability]], "High Risk", "Low Risk")</f>
        <v>High Risk</v>
      </c>
      <c r="I118" s="1">
        <v>9</v>
      </c>
      <c r="J118" s="1" t="s">
        <v>43</v>
      </c>
      <c r="K118" s="4">
        <v>3.5495596310000002</v>
      </c>
      <c r="L118" s="1" t="s">
        <v>24</v>
      </c>
      <c r="M118" s="1" t="s">
        <v>62</v>
      </c>
      <c r="N118" s="1">
        <v>7</v>
      </c>
      <c r="O118" s="1">
        <v>438</v>
      </c>
      <c r="P118" s="1">
        <v>29</v>
      </c>
      <c r="Q118" s="4">
        <v>76.193054950000004</v>
      </c>
      <c r="R118" s="1" t="s">
        <v>26</v>
      </c>
      <c r="S118" s="3">
        <v>2.0986247900000001</v>
      </c>
      <c r="T118" s="1" t="s">
        <v>35</v>
      </c>
      <c r="U118" s="1" t="s">
        <v>28</v>
      </c>
      <c r="V118" s="4">
        <v>627.30784300000005</v>
      </c>
      <c r="W118" s="8">
        <f>Table1[[#This Row],[Revenue]]-Table1[[#This Row],[Shipping costs]]-Table1[[#This Row],[Manufacturing costs]]</f>
        <v>547.56522841900005</v>
      </c>
    </row>
    <row r="119" spans="1:23" ht="14.25" customHeight="1" x14ac:dyDescent="0.25">
      <c r="A119" s="1" t="s">
        <v>21</v>
      </c>
      <c r="B119" s="1" t="s">
        <v>165</v>
      </c>
      <c r="C119" s="2">
        <v>40.19</v>
      </c>
      <c r="D119" s="1">
        <v>11</v>
      </c>
      <c r="E119" s="1">
        <v>525</v>
      </c>
      <c r="F119" s="1">
        <v>21</v>
      </c>
      <c r="G119" s="1">
        <v>32</v>
      </c>
      <c r="H119" s="1" t="str">
        <f>IF(Table1[[#This Row],[Order quantities]]&gt;Table1[[#This Row],[Availability]], "High Risk", "Low Risk")</f>
        <v>High Risk</v>
      </c>
      <c r="I119" s="1">
        <v>6</v>
      </c>
      <c r="J119" s="1" t="s">
        <v>43</v>
      </c>
      <c r="K119" s="4">
        <v>4.6028155259999997</v>
      </c>
      <c r="L119" s="1" t="s">
        <v>24</v>
      </c>
      <c r="M119" s="1" t="s">
        <v>49</v>
      </c>
      <c r="N119" s="1">
        <v>5</v>
      </c>
      <c r="O119" s="1">
        <v>897</v>
      </c>
      <c r="P119" s="1">
        <v>11</v>
      </c>
      <c r="Q119" s="4">
        <v>99.28672881</v>
      </c>
      <c r="R119" s="1" t="s">
        <v>34</v>
      </c>
      <c r="S119" s="3">
        <v>3.341094301</v>
      </c>
      <c r="T119" s="1" t="s">
        <v>47</v>
      </c>
      <c r="U119" s="1" t="s">
        <v>28</v>
      </c>
      <c r="V119" s="4">
        <v>261.6478649</v>
      </c>
      <c r="W119" s="8">
        <f>Table1[[#This Row],[Revenue]]-Table1[[#This Row],[Shipping costs]]-Table1[[#This Row],[Manufacturing costs]]</f>
        <v>157.75832056400003</v>
      </c>
    </row>
    <row r="120" spans="1:23" ht="14.25" customHeight="1" x14ac:dyDescent="0.25">
      <c r="A120" s="1" t="s">
        <v>21</v>
      </c>
      <c r="B120" s="1" t="s">
        <v>166</v>
      </c>
      <c r="C120" s="2">
        <v>51.03</v>
      </c>
      <c r="D120" s="1">
        <v>58</v>
      </c>
      <c r="E120" s="1">
        <v>333</v>
      </c>
      <c r="F120" s="1">
        <v>5</v>
      </c>
      <c r="G120" s="1">
        <v>42</v>
      </c>
      <c r="H120" s="1" t="str">
        <f>IF(Table1[[#This Row],[Order quantities]]&gt;Table1[[#This Row],[Availability]], "High Risk", "Low Risk")</f>
        <v>Low Risk</v>
      </c>
      <c r="I120" s="1">
        <v>3</v>
      </c>
      <c r="J120" s="1" t="s">
        <v>43</v>
      </c>
      <c r="K120" s="4">
        <v>8.306795116</v>
      </c>
      <c r="L120" s="1" t="s">
        <v>24</v>
      </c>
      <c r="M120" s="1" t="s">
        <v>55</v>
      </c>
      <c r="N120" s="1">
        <v>21</v>
      </c>
      <c r="O120" s="1">
        <v>121</v>
      </c>
      <c r="P120" s="1">
        <v>7</v>
      </c>
      <c r="Q120" s="4">
        <v>66.623215060000007</v>
      </c>
      <c r="R120" s="1" t="s">
        <v>34</v>
      </c>
      <c r="S120" s="3">
        <v>4.4213260950000004</v>
      </c>
      <c r="T120" s="1" t="s">
        <v>47</v>
      </c>
      <c r="U120" s="1" t="s">
        <v>39</v>
      </c>
      <c r="V120" s="4">
        <v>761.52087840000002</v>
      </c>
      <c r="W120" s="8">
        <f>Table1[[#This Row],[Revenue]]-Table1[[#This Row],[Shipping costs]]-Table1[[#This Row],[Manufacturing costs]]</f>
        <v>686.59086822400002</v>
      </c>
    </row>
    <row r="121" spans="1:23" ht="14.25" customHeight="1" x14ac:dyDescent="0.25">
      <c r="A121" s="1" t="s">
        <v>21</v>
      </c>
      <c r="B121" s="1" t="s">
        <v>167</v>
      </c>
      <c r="C121" s="2">
        <v>63.73</v>
      </c>
      <c r="D121" s="1">
        <v>36</v>
      </c>
      <c r="E121" s="1">
        <v>1</v>
      </c>
      <c r="F121" s="1">
        <v>6</v>
      </c>
      <c r="G121" s="1">
        <v>78</v>
      </c>
      <c r="H121" s="1" t="str">
        <f>IF(Table1[[#This Row],[Order quantities]]&gt;Table1[[#This Row],[Availability]], "High Risk", "Low Risk")</f>
        <v>High Risk</v>
      </c>
      <c r="I121" s="1">
        <v>7</v>
      </c>
      <c r="J121" s="1" t="s">
        <v>43</v>
      </c>
      <c r="K121" s="4">
        <v>1.1247592230000001</v>
      </c>
      <c r="L121" s="1" t="s">
        <v>44</v>
      </c>
      <c r="M121" s="1" t="s">
        <v>55</v>
      </c>
      <c r="N121" s="1">
        <v>26</v>
      </c>
      <c r="O121" s="1">
        <v>870</v>
      </c>
      <c r="P121" s="1">
        <v>2</v>
      </c>
      <c r="Q121" s="4">
        <v>43.326375980000002</v>
      </c>
      <c r="R121" s="1" t="s">
        <v>26</v>
      </c>
      <c r="S121" s="3">
        <v>2.106006743</v>
      </c>
      <c r="T121" s="1" t="s">
        <v>35</v>
      </c>
      <c r="U121" s="1" t="s">
        <v>28</v>
      </c>
      <c r="V121" s="4">
        <v>269.75846710000002</v>
      </c>
      <c r="W121" s="8">
        <f>Table1[[#This Row],[Revenue]]-Table1[[#This Row],[Shipping costs]]-Table1[[#This Row],[Manufacturing costs]]</f>
        <v>225.30733189700001</v>
      </c>
    </row>
    <row r="122" spans="1:23" ht="14.25" customHeight="1" x14ac:dyDescent="0.25">
      <c r="A122" s="1" t="s">
        <v>21</v>
      </c>
      <c r="B122" s="1" t="s">
        <v>168</v>
      </c>
      <c r="C122" s="2">
        <v>40.049999999999997</v>
      </c>
      <c r="D122" s="1">
        <v>60</v>
      </c>
      <c r="E122" s="1">
        <v>374</v>
      </c>
      <c r="F122" s="1">
        <v>17</v>
      </c>
      <c r="G122" s="1">
        <v>10</v>
      </c>
      <c r="H122" s="1" t="str">
        <f>IF(Table1[[#This Row],[Order quantities]]&gt;Table1[[#This Row],[Availability]], "High Risk", "Low Risk")</f>
        <v>Low Risk</v>
      </c>
      <c r="I122" s="1">
        <v>9</v>
      </c>
      <c r="J122" s="1" t="s">
        <v>43</v>
      </c>
      <c r="K122" s="4">
        <v>6.8444093820000003</v>
      </c>
      <c r="L122" s="1" t="s">
        <v>44</v>
      </c>
      <c r="M122" s="1" t="s">
        <v>55</v>
      </c>
      <c r="N122" s="1">
        <v>5</v>
      </c>
      <c r="O122" s="1">
        <v>968</v>
      </c>
      <c r="P122" s="1">
        <v>19</v>
      </c>
      <c r="Q122" s="4">
        <v>30.353643980000001</v>
      </c>
      <c r="R122" s="1" t="s">
        <v>26</v>
      </c>
      <c r="S122" s="3">
        <v>1.5204153300000001</v>
      </c>
      <c r="T122" s="1" t="s">
        <v>35</v>
      </c>
      <c r="U122" s="1" t="s">
        <v>39</v>
      </c>
      <c r="V122" s="4">
        <v>202.1262739</v>
      </c>
      <c r="W122" s="8">
        <f>Table1[[#This Row],[Revenue]]-Table1[[#This Row],[Shipping costs]]-Table1[[#This Row],[Manufacturing costs]]</f>
        <v>164.92822053800001</v>
      </c>
    </row>
    <row r="123" spans="1:23" ht="14.25" customHeight="1" x14ac:dyDescent="0.25">
      <c r="A123" s="1" t="s">
        <v>29</v>
      </c>
      <c r="B123" s="1" t="s">
        <v>169</v>
      </c>
      <c r="C123" s="2">
        <v>48.94</v>
      </c>
      <c r="D123" s="1">
        <v>42</v>
      </c>
      <c r="E123" s="1">
        <v>292</v>
      </c>
      <c r="F123" s="1">
        <v>1</v>
      </c>
      <c r="G123" s="1">
        <v>36</v>
      </c>
      <c r="H123" s="1" t="str">
        <f>IF(Table1[[#This Row],[Order quantities]]&gt;Table1[[#This Row],[Availability]], "High Risk", "Low Risk")</f>
        <v>Low Risk</v>
      </c>
      <c r="I123" s="1">
        <v>3</v>
      </c>
      <c r="J123" s="1" t="s">
        <v>23</v>
      </c>
      <c r="K123" s="4">
        <v>7.0198887790000004</v>
      </c>
      <c r="L123" s="1" t="s">
        <v>41</v>
      </c>
      <c r="M123" s="1" t="s">
        <v>46</v>
      </c>
      <c r="N123" s="1">
        <v>20</v>
      </c>
      <c r="O123" s="1">
        <v>204</v>
      </c>
      <c r="P123" s="1">
        <v>4</v>
      </c>
      <c r="Q123" s="4">
        <v>88.554721069999999</v>
      </c>
      <c r="R123" s="1" t="s">
        <v>34</v>
      </c>
      <c r="S123" s="3">
        <v>0.17112396299999999</v>
      </c>
      <c r="T123" s="1" t="s">
        <v>47</v>
      </c>
      <c r="U123" s="1" t="s">
        <v>53</v>
      </c>
      <c r="V123" s="4">
        <v>592.01154989999998</v>
      </c>
      <c r="W123" s="8">
        <f>Table1[[#This Row],[Revenue]]-Table1[[#This Row],[Shipping costs]]-Table1[[#This Row],[Manufacturing costs]]</f>
        <v>496.43694005099997</v>
      </c>
    </row>
    <row r="124" spans="1:23" ht="14.25" customHeight="1" x14ac:dyDescent="0.25">
      <c r="A124" s="1" t="s">
        <v>29</v>
      </c>
      <c r="B124" s="1" t="s">
        <v>170</v>
      </c>
      <c r="C124" s="2">
        <v>76.010000000000005</v>
      </c>
      <c r="D124" s="1">
        <v>69</v>
      </c>
      <c r="E124" s="1">
        <v>836</v>
      </c>
      <c r="F124" s="1">
        <v>25</v>
      </c>
      <c r="G124" s="1">
        <v>34</v>
      </c>
      <c r="H124" s="1" t="str">
        <f>IF(Table1[[#This Row],[Order quantities]]&gt;Table1[[#This Row],[Availability]], "High Risk", "Low Risk")</f>
        <v>Low Risk</v>
      </c>
      <c r="I124" s="1">
        <v>2</v>
      </c>
      <c r="J124" s="1" t="s">
        <v>31</v>
      </c>
      <c r="K124" s="4">
        <v>8.1879020229999995</v>
      </c>
      <c r="L124" s="1" t="s">
        <v>44</v>
      </c>
      <c r="M124" s="1" t="s">
        <v>55</v>
      </c>
      <c r="N124" s="1">
        <v>13</v>
      </c>
      <c r="O124" s="1">
        <v>565</v>
      </c>
      <c r="P124" s="1">
        <v>26</v>
      </c>
      <c r="Q124" s="4">
        <v>83.310869089999997</v>
      </c>
      <c r="R124" s="1" t="s">
        <v>51</v>
      </c>
      <c r="S124" s="3">
        <v>2.916711286</v>
      </c>
      <c r="T124" s="1" t="s">
        <v>27</v>
      </c>
      <c r="U124" s="1" t="s">
        <v>53</v>
      </c>
      <c r="V124" s="4">
        <v>738.36742319999996</v>
      </c>
      <c r="W124" s="8">
        <f>Table1[[#This Row],[Revenue]]-Table1[[#This Row],[Shipping costs]]-Table1[[#This Row],[Manufacturing costs]]</f>
        <v>646.86865208699999</v>
      </c>
    </row>
    <row r="125" spans="1:23" ht="14.25" customHeight="1" x14ac:dyDescent="0.25">
      <c r="A125" s="1" t="s">
        <v>21</v>
      </c>
      <c r="B125" s="1" t="s">
        <v>171</v>
      </c>
      <c r="C125" s="2">
        <v>8.48</v>
      </c>
      <c r="D125" s="1">
        <v>38</v>
      </c>
      <c r="E125" s="1">
        <v>933</v>
      </c>
      <c r="F125" s="1">
        <v>19</v>
      </c>
      <c r="G125" s="1">
        <v>73</v>
      </c>
      <c r="H125" s="1" t="str">
        <f>IF(Table1[[#This Row],[Order quantities]]&gt;Table1[[#This Row],[Availability]], "High Risk", "Low Risk")</f>
        <v>High Risk</v>
      </c>
      <c r="I125" s="1">
        <v>7</v>
      </c>
      <c r="J125" s="1" t="s">
        <v>23</v>
      </c>
      <c r="K125" s="4">
        <v>9.3947764520000003</v>
      </c>
      <c r="L125" s="1" t="s">
        <v>41</v>
      </c>
      <c r="M125" s="1" t="s">
        <v>46</v>
      </c>
      <c r="N125" s="1">
        <v>21</v>
      </c>
      <c r="O125" s="1">
        <v>558</v>
      </c>
      <c r="P125" s="1">
        <v>6</v>
      </c>
      <c r="Q125" s="4">
        <v>31.053053869999999</v>
      </c>
      <c r="R125" s="1" t="s">
        <v>26</v>
      </c>
      <c r="S125" s="3">
        <v>2.0711463600000002</v>
      </c>
      <c r="T125" s="1" t="s">
        <v>47</v>
      </c>
      <c r="U125" s="1" t="s">
        <v>53</v>
      </c>
      <c r="V125" s="4">
        <v>145.03225280000001</v>
      </c>
      <c r="W125" s="8">
        <f>Table1[[#This Row],[Revenue]]-Table1[[#This Row],[Shipping costs]]-Table1[[#This Row],[Manufacturing costs]]</f>
        <v>104.58442247800001</v>
      </c>
    </row>
    <row r="126" spans="1:23" ht="14.25" customHeight="1" x14ac:dyDescent="0.25">
      <c r="A126" s="1" t="s">
        <v>29</v>
      </c>
      <c r="B126" s="1" t="s">
        <v>172</v>
      </c>
      <c r="C126" s="2">
        <v>28.98</v>
      </c>
      <c r="D126" s="1">
        <v>55</v>
      </c>
      <c r="E126" s="1">
        <v>552</v>
      </c>
      <c r="F126" s="1">
        <v>4</v>
      </c>
      <c r="G126" s="1">
        <v>28</v>
      </c>
      <c r="H126" s="1" t="str">
        <f>IF(Table1[[#This Row],[Order quantities]]&gt;Table1[[#This Row],[Availability]], "High Risk", "Low Risk")</f>
        <v>Low Risk</v>
      </c>
      <c r="I126" s="1">
        <v>7</v>
      </c>
      <c r="J126" s="1" t="s">
        <v>23</v>
      </c>
      <c r="K126" s="4">
        <v>1.181240641</v>
      </c>
      <c r="L126" s="1" t="s">
        <v>32</v>
      </c>
      <c r="M126" s="1" t="s">
        <v>46</v>
      </c>
      <c r="N126" s="1">
        <v>29</v>
      </c>
      <c r="O126" s="1">
        <v>531</v>
      </c>
      <c r="P126" s="1">
        <v>17</v>
      </c>
      <c r="Q126" s="4">
        <v>28.056888109999999</v>
      </c>
      <c r="R126" s="1" t="s">
        <v>34</v>
      </c>
      <c r="S126" s="3">
        <v>1.9357811730000001</v>
      </c>
      <c r="T126" s="1" t="s">
        <v>35</v>
      </c>
      <c r="U126" s="1" t="s">
        <v>53</v>
      </c>
      <c r="V126" s="4">
        <v>162.4557834</v>
      </c>
      <c r="W126" s="8">
        <f>Table1[[#This Row],[Revenue]]-Table1[[#This Row],[Shipping costs]]-Table1[[#This Row],[Manufacturing costs]]</f>
        <v>133.21765464900002</v>
      </c>
    </row>
    <row r="127" spans="1:23" ht="14.25" customHeight="1" x14ac:dyDescent="0.25">
      <c r="A127" s="1" t="s">
        <v>21</v>
      </c>
      <c r="B127" s="1" t="s">
        <v>173</v>
      </c>
      <c r="C127" s="2">
        <v>72.77</v>
      </c>
      <c r="D127" s="1">
        <v>62</v>
      </c>
      <c r="E127" s="1">
        <v>317</v>
      </c>
      <c r="F127" s="1">
        <v>17</v>
      </c>
      <c r="G127" s="1">
        <v>11</v>
      </c>
      <c r="H127" s="1" t="str">
        <f>IF(Table1[[#This Row],[Order quantities]]&gt;Table1[[#This Row],[Availability]], "High Risk", "Low Risk")</f>
        <v>Low Risk</v>
      </c>
      <c r="I127" s="1">
        <v>4</v>
      </c>
      <c r="J127" s="1" t="s">
        <v>23</v>
      </c>
      <c r="K127" s="4">
        <v>2.3840533499999998</v>
      </c>
      <c r="L127" s="1" t="s">
        <v>38</v>
      </c>
      <c r="M127" s="1" t="s">
        <v>62</v>
      </c>
      <c r="N127" s="1">
        <v>20</v>
      </c>
      <c r="O127" s="1">
        <v>869</v>
      </c>
      <c r="P127" s="1">
        <v>25</v>
      </c>
      <c r="Q127" s="4">
        <v>74.362309909999993</v>
      </c>
      <c r="R127" s="1" t="s">
        <v>26</v>
      </c>
      <c r="S127" s="3">
        <v>0.99638307400000004</v>
      </c>
      <c r="T127" s="1" t="s">
        <v>35</v>
      </c>
      <c r="U127" s="1" t="s">
        <v>53</v>
      </c>
      <c r="V127" s="4">
        <v>822.41124639999998</v>
      </c>
      <c r="W127" s="8">
        <f>Table1[[#This Row],[Revenue]]-Table1[[#This Row],[Shipping costs]]-Table1[[#This Row],[Manufacturing costs]]</f>
        <v>745.66488313999992</v>
      </c>
    </row>
    <row r="128" spans="1:23" ht="14.25" customHeight="1" x14ac:dyDescent="0.25">
      <c r="A128" s="1" t="s">
        <v>21</v>
      </c>
      <c r="B128" s="1" t="s">
        <v>174</v>
      </c>
      <c r="C128" s="2">
        <v>90.04</v>
      </c>
      <c r="D128" s="1">
        <v>45</v>
      </c>
      <c r="E128" s="1">
        <v>501</v>
      </c>
      <c r="F128" s="1">
        <v>9</v>
      </c>
      <c r="G128" s="1">
        <v>78</v>
      </c>
      <c r="H128" s="1" t="str">
        <f>IF(Table1[[#This Row],[Order quantities]]&gt;Table1[[#This Row],[Availability]], "High Risk", "Low Risk")</f>
        <v>High Risk</v>
      </c>
      <c r="I128" s="1">
        <v>9</v>
      </c>
      <c r="J128" s="1" t="s">
        <v>43</v>
      </c>
      <c r="K128" s="4">
        <v>8.975541647</v>
      </c>
      <c r="L128" s="1" t="s">
        <v>38</v>
      </c>
      <c r="M128" s="1" t="s">
        <v>49</v>
      </c>
      <c r="N128" s="1">
        <v>29</v>
      </c>
      <c r="O128" s="1">
        <v>815</v>
      </c>
      <c r="P128" s="1">
        <v>5</v>
      </c>
      <c r="Q128" s="4">
        <v>38.345685570000001</v>
      </c>
      <c r="R128" s="1" t="s">
        <v>34</v>
      </c>
      <c r="S128" s="3">
        <v>2.2072711909999998</v>
      </c>
      <c r="T128" s="1" t="s">
        <v>35</v>
      </c>
      <c r="U128" s="1" t="s">
        <v>39</v>
      </c>
      <c r="V128" s="4">
        <v>828.12942959999998</v>
      </c>
      <c r="W128" s="8">
        <f>Table1[[#This Row],[Revenue]]-Table1[[#This Row],[Shipping costs]]-Table1[[#This Row],[Manufacturing costs]]</f>
        <v>780.80820238299998</v>
      </c>
    </row>
    <row r="129" spans="1:23" ht="14.25" customHeight="1" x14ac:dyDescent="0.25">
      <c r="A129" s="1" t="s">
        <v>21</v>
      </c>
      <c r="B129" s="1" t="s">
        <v>175</v>
      </c>
      <c r="C129" s="2">
        <v>55.55</v>
      </c>
      <c r="D129" s="1">
        <v>10</v>
      </c>
      <c r="E129" s="1">
        <v>380</v>
      </c>
      <c r="F129" s="1">
        <v>2</v>
      </c>
      <c r="G129" s="1">
        <v>47</v>
      </c>
      <c r="H129" s="1" t="str">
        <f>IF(Table1[[#This Row],[Order quantities]]&gt;Table1[[#This Row],[Availability]], "High Risk", "Low Risk")</f>
        <v>High Risk</v>
      </c>
      <c r="I129" s="1">
        <v>1</v>
      </c>
      <c r="J129" s="1" t="s">
        <v>31</v>
      </c>
      <c r="K129" s="4">
        <v>6.0813157499999999</v>
      </c>
      <c r="L129" s="1" t="s">
        <v>24</v>
      </c>
      <c r="M129" s="1" t="s">
        <v>49</v>
      </c>
      <c r="N129" s="1">
        <v>20</v>
      </c>
      <c r="O129" s="1">
        <v>873</v>
      </c>
      <c r="P129" s="1">
        <v>28</v>
      </c>
      <c r="Q129" s="4">
        <v>23.706122239999999</v>
      </c>
      <c r="R129" s="1" t="s">
        <v>26</v>
      </c>
      <c r="S129" s="3">
        <v>1.558995353</v>
      </c>
      <c r="T129" s="1" t="s">
        <v>47</v>
      </c>
      <c r="U129" s="1" t="s">
        <v>53</v>
      </c>
      <c r="V129" s="4">
        <v>653.70538250000004</v>
      </c>
      <c r="W129" s="8">
        <f>Table1[[#This Row],[Revenue]]-Table1[[#This Row],[Shipping costs]]-Table1[[#This Row],[Manufacturing costs]]</f>
        <v>623.91794450999998</v>
      </c>
    </row>
    <row r="130" spans="1:23" ht="14.25" customHeight="1" x14ac:dyDescent="0.25">
      <c r="A130" s="1" t="s">
        <v>29</v>
      </c>
      <c r="B130" s="1" t="s">
        <v>176</v>
      </c>
      <c r="C130" s="2">
        <v>15.18</v>
      </c>
      <c r="D130" s="1">
        <v>61</v>
      </c>
      <c r="E130" s="1">
        <v>622</v>
      </c>
      <c r="F130" s="1">
        <v>8</v>
      </c>
      <c r="G130" s="1">
        <v>19</v>
      </c>
      <c r="H130" s="1" t="str">
        <f>IF(Table1[[#This Row],[Order quantities]]&gt;Table1[[#This Row],[Availability]], "High Risk", "Low Risk")</f>
        <v>Low Risk</v>
      </c>
      <c r="I130" s="1">
        <v>1</v>
      </c>
      <c r="J130" s="1" t="s">
        <v>23</v>
      </c>
      <c r="K130" s="4">
        <v>6.9672448339999997</v>
      </c>
      <c r="L130" s="1" t="s">
        <v>44</v>
      </c>
      <c r="M130" s="1" t="s">
        <v>55</v>
      </c>
      <c r="N130" s="1">
        <v>18</v>
      </c>
      <c r="O130" s="1">
        <v>718</v>
      </c>
      <c r="P130" s="1">
        <v>30</v>
      </c>
      <c r="Q130" s="4">
        <v>33.757796769999999</v>
      </c>
      <c r="R130" s="1" t="s">
        <v>34</v>
      </c>
      <c r="S130" s="3">
        <v>3.0385516259999998</v>
      </c>
      <c r="T130" s="1" t="s">
        <v>27</v>
      </c>
      <c r="U130" s="1" t="s">
        <v>28</v>
      </c>
      <c r="V130" s="4">
        <v>498.86206759999999</v>
      </c>
      <c r="W130" s="8">
        <f>Table1[[#This Row],[Revenue]]-Table1[[#This Row],[Shipping costs]]-Table1[[#This Row],[Manufacturing costs]]</f>
        <v>458.13702599600003</v>
      </c>
    </row>
    <row r="131" spans="1:23" ht="14.25" customHeight="1" x14ac:dyDescent="0.25">
      <c r="A131" s="1" t="s">
        <v>21</v>
      </c>
      <c r="B131" s="1" t="s">
        <v>177</v>
      </c>
      <c r="C131" s="2">
        <v>47.5</v>
      </c>
      <c r="D131" s="1">
        <v>76</v>
      </c>
      <c r="E131" s="1">
        <v>13</v>
      </c>
      <c r="F131" s="1">
        <v>15</v>
      </c>
      <c r="G131" s="1">
        <v>15</v>
      </c>
      <c r="H131" s="1" t="str">
        <f>IF(Table1[[#This Row],[Order quantities]]&gt;Table1[[#This Row],[Availability]], "High Risk", "Low Risk")</f>
        <v>Low Risk</v>
      </c>
      <c r="I131" s="1">
        <v>5</v>
      </c>
      <c r="J131" s="1" t="s">
        <v>31</v>
      </c>
      <c r="K131" s="4">
        <v>7.11159944</v>
      </c>
      <c r="L131" s="1" t="s">
        <v>41</v>
      </c>
      <c r="M131" s="1" t="s">
        <v>49</v>
      </c>
      <c r="N131" s="1">
        <v>25</v>
      </c>
      <c r="O131" s="1">
        <v>862</v>
      </c>
      <c r="P131" s="1">
        <v>7</v>
      </c>
      <c r="Q131" s="4">
        <v>48.475680179999998</v>
      </c>
      <c r="R131" s="1" t="s">
        <v>51</v>
      </c>
      <c r="S131" s="3">
        <v>3.9047857179999999</v>
      </c>
      <c r="T131" s="1" t="s">
        <v>47</v>
      </c>
      <c r="U131" s="1" t="s">
        <v>53</v>
      </c>
      <c r="V131" s="4">
        <v>669.42643729999998</v>
      </c>
      <c r="W131" s="8">
        <f>Table1[[#This Row],[Revenue]]-Table1[[#This Row],[Shipping costs]]-Table1[[#This Row],[Manufacturing costs]]</f>
        <v>613.83915767999997</v>
      </c>
    </row>
    <row r="132" spans="1:23" ht="14.25" customHeight="1" x14ac:dyDescent="0.25">
      <c r="A132" s="1" t="s">
        <v>29</v>
      </c>
      <c r="B132" s="1" t="s">
        <v>178</v>
      </c>
      <c r="C132" s="2">
        <v>55.6</v>
      </c>
      <c r="D132" s="1">
        <v>97</v>
      </c>
      <c r="E132" s="1">
        <v>503</v>
      </c>
      <c r="F132" s="1">
        <v>7</v>
      </c>
      <c r="G132" s="1">
        <v>28</v>
      </c>
      <c r="H132" s="1" t="str">
        <f>IF(Table1[[#This Row],[Order quantities]]&gt;Table1[[#This Row],[Availability]], "High Risk", "Low Risk")</f>
        <v>Low Risk</v>
      </c>
      <c r="I132" s="1">
        <v>6</v>
      </c>
      <c r="J132" s="1" t="s">
        <v>23</v>
      </c>
      <c r="K132" s="4">
        <v>9.3856636299999998</v>
      </c>
      <c r="L132" s="1" t="s">
        <v>44</v>
      </c>
      <c r="M132" s="1" t="s">
        <v>46</v>
      </c>
      <c r="N132" s="1">
        <v>2</v>
      </c>
      <c r="O132" s="1">
        <v>320</v>
      </c>
      <c r="P132" s="1">
        <v>9</v>
      </c>
      <c r="Q132" s="4">
        <v>75.95545036</v>
      </c>
      <c r="R132" s="1" t="s">
        <v>26</v>
      </c>
      <c r="S132" s="3">
        <v>3.770873334</v>
      </c>
      <c r="T132" s="1" t="s">
        <v>35</v>
      </c>
      <c r="U132" s="1" t="s">
        <v>39</v>
      </c>
      <c r="V132" s="4">
        <v>876.59135570000001</v>
      </c>
      <c r="W132" s="8">
        <f>Table1[[#This Row],[Revenue]]-Table1[[#This Row],[Shipping costs]]-Table1[[#This Row],[Manufacturing costs]]</f>
        <v>791.25024171000007</v>
      </c>
    </row>
    <row r="133" spans="1:23" ht="14.25" customHeight="1" x14ac:dyDescent="0.25">
      <c r="A133" s="1" t="s">
        <v>29</v>
      </c>
      <c r="B133" s="1" t="s">
        <v>179</v>
      </c>
      <c r="C133" s="2">
        <v>28.03</v>
      </c>
      <c r="D133" s="1">
        <v>24</v>
      </c>
      <c r="E133" s="1">
        <v>230</v>
      </c>
      <c r="F133" s="1">
        <v>27</v>
      </c>
      <c r="G133" s="1">
        <v>24</v>
      </c>
      <c r="H133" s="1" t="str">
        <f>IF(Table1[[#This Row],[Order quantities]]&gt;Table1[[#This Row],[Availability]], "High Risk", "Low Risk")</f>
        <v>Low Risk</v>
      </c>
      <c r="I133" s="1">
        <v>3</v>
      </c>
      <c r="J133" s="1" t="s">
        <v>37</v>
      </c>
      <c r="K133" s="4">
        <v>9.9725447569999996</v>
      </c>
      <c r="L133" s="1" t="s">
        <v>41</v>
      </c>
      <c r="M133" s="1" t="s">
        <v>49</v>
      </c>
      <c r="N133" s="1">
        <v>25</v>
      </c>
      <c r="O133" s="1">
        <v>478</v>
      </c>
      <c r="P133" s="1">
        <v>25</v>
      </c>
      <c r="Q133" s="4">
        <v>40.267728499999997</v>
      </c>
      <c r="R133" s="1" t="s">
        <v>51</v>
      </c>
      <c r="S133" s="3">
        <v>1.710994009</v>
      </c>
      <c r="T133" s="1" t="s">
        <v>47</v>
      </c>
      <c r="U133" s="1" t="s">
        <v>39</v>
      </c>
      <c r="V133" s="4">
        <v>171.87078210000001</v>
      </c>
      <c r="W133" s="8">
        <f>Table1[[#This Row],[Revenue]]-Table1[[#This Row],[Shipping costs]]-Table1[[#This Row],[Manufacturing costs]]</f>
        <v>121.630508843</v>
      </c>
    </row>
    <row r="134" spans="1:23" ht="14.25" customHeight="1" x14ac:dyDescent="0.25">
      <c r="A134" s="1" t="s">
        <v>21</v>
      </c>
      <c r="B134" s="1" t="s">
        <v>180</v>
      </c>
      <c r="C134" s="2">
        <v>30.58</v>
      </c>
      <c r="D134" s="1">
        <v>70</v>
      </c>
      <c r="E134" s="1">
        <v>984</v>
      </c>
      <c r="F134" s="1">
        <v>6</v>
      </c>
      <c r="G134" s="1">
        <v>72</v>
      </c>
      <c r="H134" s="1" t="str">
        <f>IF(Table1[[#This Row],[Order quantities]]&gt;Table1[[#This Row],[Availability]], "High Risk", "Low Risk")</f>
        <v>High Risk</v>
      </c>
      <c r="I134" s="1">
        <v>9</v>
      </c>
      <c r="J134" s="1" t="s">
        <v>31</v>
      </c>
      <c r="K134" s="4">
        <v>7.4814171480000002</v>
      </c>
      <c r="L134" s="1" t="s">
        <v>32</v>
      </c>
      <c r="M134" s="1" t="s">
        <v>46</v>
      </c>
      <c r="N134" s="1">
        <v>26</v>
      </c>
      <c r="O134" s="1">
        <v>321</v>
      </c>
      <c r="P134" s="1">
        <v>1</v>
      </c>
      <c r="Q134" s="4">
        <v>39.574390549999997</v>
      </c>
      <c r="R134" s="1" t="s">
        <v>26</v>
      </c>
      <c r="S134" s="3">
        <v>3.0932144090000002</v>
      </c>
      <c r="T134" s="1" t="s">
        <v>47</v>
      </c>
      <c r="U134" s="1" t="s">
        <v>53</v>
      </c>
      <c r="V134" s="4">
        <v>800.18598340000005</v>
      </c>
      <c r="W134" s="8">
        <f>Table1[[#This Row],[Revenue]]-Table1[[#This Row],[Shipping costs]]-Table1[[#This Row],[Manufacturing costs]]</f>
        <v>753.13017570200009</v>
      </c>
    </row>
    <row r="135" spans="1:23" ht="14.25" customHeight="1" x14ac:dyDescent="0.25">
      <c r="A135" s="1" t="s">
        <v>114</v>
      </c>
      <c r="B135" s="1" t="s">
        <v>181</v>
      </c>
      <c r="C135" s="2">
        <v>40.840000000000003</v>
      </c>
      <c r="D135" s="1">
        <v>51</v>
      </c>
      <c r="E135" s="1">
        <v>83</v>
      </c>
      <c r="F135" s="1">
        <v>1</v>
      </c>
      <c r="G135" s="1">
        <v>9</v>
      </c>
      <c r="H135" s="1" t="str">
        <f>IF(Table1[[#This Row],[Order quantities]]&gt;Table1[[#This Row],[Availability]], "High Risk", "Low Risk")</f>
        <v>Low Risk</v>
      </c>
      <c r="I135" s="1">
        <v>6</v>
      </c>
      <c r="J135" s="1" t="s">
        <v>31</v>
      </c>
      <c r="K135" s="4">
        <v>3.5849908830000001</v>
      </c>
      <c r="L135" s="1" t="s">
        <v>32</v>
      </c>
      <c r="M135" s="1" t="s">
        <v>25</v>
      </c>
      <c r="N135" s="1">
        <v>6</v>
      </c>
      <c r="O135" s="1">
        <v>357</v>
      </c>
      <c r="P135" s="1">
        <v>1</v>
      </c>
      <c r="Q135" s="4">
        <v>35.642192729999998</v>
      </c>
      <c r="R135" s="1" t="s">
        <v>26</v>
      </c>
      <c r="S135" s="3">
        <v>4.3691969579999999</v>
      </c>
      <c r="T135" s="1" t="s">
        <v>47</v>
      </c>
      <c r="U135" s="1" t="s">
        <v>28</v>
      </c>
      <c r="V135" s="4">
        <v>543.72619410000004</v>
      </c>
      <c r="W135" s="8">
        <f>Table1[[#This Row],[Revenue]]-Table1[[#This Row],[Shipping costs]]-Table1[[#This Row],[Manufacturing costs]]</f>
        <v>504.49901048700002</v>
      </c>
    </row>
    <row r="136" spans="1:23" ht="14.25" customHeight="1" x14ac:dyDescent="0.25">
      <c r="A136" s="1" t="s">
        <v>29</v>
      </c>
      <c r="B136" s="1" t="s">
        <v>182</v>
      </c>
      <c r="C136" s="2">
        <v>6.91</v>
      </c>
      <c r="D136" s="1">
        <v>3</v>
      </c>
      <c r="E136" s="1">
        <v>129</v>
      </c>
      <c r="F136" s="1">
        <v>15</v>
      </c>
      <c r="G136" s="1">
        <v>47</v>
      </c>
      <c r="H136" s="1" t="str">
        <f>IF(Table1[[#This Row],[Order quantities]]&gt;Table1[[#This Row],[Availability]], "High Risk", "Low Risk")</f>
        <v>High Risk</v>
      </c>
      <c r="I136" s="1">
        <v>4</v>
      </c>
      <c r="J136" s="1" t="s">
        <v>23</v>
      </c>
      <c r="K136" s="4">
        <v>8.917771621</v>
      </c>
      <c r="L136" s="1" t="s">
        <v>44</v>
      </c>
      <c r="M136" s="1" t="s">
        <v>46</v>
      </c>
      <c r="N136" s="1">
        <v>9</v>
      </c>
      <c r="O136" s="1">
        <v>812</v>
      </c>
      <c r="P136" s="1">
        <v>19</v>
      </c>
      <c r="Q136" s="4">
        <v>53.045530079999999</v>
      </c>
      <c r="R136" s="1" t="s">
        <v>26</v>
      </c>
      <c r="S136" s="3">
        <v>0.175692396</v>
      </c>
      <c r="T136" s="1" t="s">
        <v>27</v>
      </c>
      <c r="U136" s="1" t="s">
        <v>39</v>
      </c>
      <c r="V136" s="4">
        <v>607.71424939999997</v>
      </c>
      <c r="W136" s="8">
        <f>Table1[[#This Row],[Revenue]]-Table1[[#This Row],[Shipping costs]]-Table1[[#This Row],[Manufacturing costs]]</f>
        <v>545.75094769899988</v>
      </c>
    </row>
    <row r="137" spans="1:23" ht="14.25" customHeight="1" x14ac:dyDescent="0.25">
      <c r="A137" s="1" t="s">
        <v>21</v>
      </c>
      <c r="B137" s="1" t="s">
        <v>183</v>
      </c>
      <c r="C137" s="2">
        <v>35.6</v>
      </c>
      <c r="D137" s="1">
        <v>58</v>
      </c>
      <c r="E137" s="1">
        <v>742</v>
      </c>
      <c r="F137" s="1">
        <v>23</v>
      </c>
      <c r="G137" s="1">
        <v>33</v>
      </c>
      <c r="H137" s="1" t="str">
        <f>IF(Table1[[#This Row],[Order quantities]]&gt;Table1[[#This Row],[Availability]], "High Risk", "Low Risk")</f>
        <v>Low Risk</v>
      </c>
      <c r="I137" s="1">
        <v>7</v>
      </c>
      <c r="J137" s="1" t="s">
        <v>31</v>
      </c>
      <c r="K137" s="4">
        <v>1.442988231</v>
      </c>
      <c r="L137" s="1" t="s">
        <v>41</v>
      </c>
      <c r="M137" s="1" t="s">
        <v>46</v>
      </c>
      <c r="N137" s="1">
        <v>25</v>
      </c>
      <c r="O137" s="1">
        <v>466</v>
      </c>
      <c r="P137" s="1">
        <v>6</v>
      </c>
      <c r="Q137" s="4">
        <v>26.25730282</v>
      </c>
      <c r="R137" s="1" t="s">
        <v>51</v>
      </c>
      <c r="S137" s="3">
        <v>2.2350983489999998</v>
      </c>
      <c r="T137" s="1" t="s">
        <v>27</v>
      </c>
      <c r="U137" s="1" t="s">
        <v>53</v>
      </c>
      <c r="V137" s="4">
        <v>688.53822400000001</v>
      </c>
      <c r="W137" s="8">
        <f>Table1[[#This Row],[Revenue]]-Table1[[#This Row],[Shipping costs]]-Table1[[#This Row],[Manufacturing costs]]</f>
        <v>660.83793294900011</v>
      </c>
    </row>
    <row r="138" spans="1:23" ht="14.25" customHeight="1" x14ac:dyDescent="0.25">
      <c r="A138" s="1" t="s">
        <v>29</v>
      </c>
      <c r="B138" s="1" t="s">
        <v>184</v>
      </c>
      <c r="C138" s="2">
        <v>25.09</v>
      </c>
      <c r="D138" s="1">
        <v>71</v>
      </c>
      <c r="E138" s="1">
        <v>837</v>
      </c>
      <c r="F138" s="1">
        <v>26</v>
      </c>
      <c r="G138" s="1">
        <v>62</v>
      </c>
      <c r="H138" s="1" t="str">
        <f>IF(Table1[[#This Row],[Order quantities]]&gt;Table1[[#This Row],[Availability]], "High Risk", "Low Risk")</f>
        <v>Low Risk</v>
      </c>
      <c r="I138" s="1">
        <v>8</v>
      </c>
      <c r="J138" s="1" t="s">
        <v>23</v>
      </c>
      <c r="K138" s="4">
        <v>3.0797276760000001</v>
      </c>
      <c r="L138" s="1" t="s">
        <v>24</v>
      </c>
      <c r="M138" s="1" t="s">
        <v>62</v>
      </c>
      <c r="N138" s="1">
        <v>3</v>
      </c>
      <c r="O138" s="1">
        <v>869</v>
      </c>
      <c r="P138" s="1">
        <v>18</v>
      </c>
      <c r="Q138" s="4">
        <v>53.70676606</v>
      </c>
      <c r="R138" s="1" t="s">
        <v>26</v>
      </c>
      <c r="S138" s="3">
        <v>1.198939749</v>
      </c>
      <c r="T138" s="1" t="s">
        <v>47</v>
      </c>
      <c r="U138" s="1" t="s">
        <v>53</v>
      </c>
      <c r="V138" s="4">
        <v>930.3608342</v>
      </c>
      <c r="W138" s="8">
        <f>Table1[[#This Row],[Revenue]]-Table1[[#This Row],[Shipping costs]]-Table1[[#This Row],[Manufacturing costs]]</f>
        <v>873.5743404640001</v>
      </c>
    </row>
    <row r="139" spans="1:23" ht="14.25" customHeight="1" x14ac:dyDescent="0.25">
      <c r="A139" s="1" t="s">
        <v>21</v>
      </c>
      <c r="B139" s="1" t="s">
        <v>185</v>
      </c>
      <c r="C139" s="2">
        <v>36.11</v>
      </c>
      <c r="D139" s="1">
        <v>19</v>
      </c>
      <c r="E139" s="1">
        <v>144</v>
      </c>
      <c r="F139" s="1">
        <v>7</v>
      </c>
      <c r="G139" s="1">
        <v>97</v>
      </c>
      <c r="H139" s="1" t="str">
        <f>IF(Table1[[#This Row],[Order quantities]]&gt;Table1[[#This Row],[Availability]], "High Risk", "Low Risk")</f>
        <v>High Risk</v>
      </c>
      <c r="I139" s="1">
        <v>9</v>
      </c>
      <c r="J139" s="1" t="s">
        <v>31</v>
      </c>
      <c r="K139" s="4">
        <v>9.0764714570000002</v>
      </c>
      <c r="L139" s="1" t="s">
        <v>38</v>
      </c>
      <c r="M139" s="1" t="s">
        <v>55</v>
      </c>
      <c r="N139" s="1">
        <v>1</v>
      </c>
      <c r="O139" s="1">
        <v>448</v>
      </c>
      <c r="P139" s="1">
        <v>10</v>
      </c>
      <c r="Q139" s="4">
        <v>73.375800060000003</v>
      </c>
      <c r="R139" s="1" t="s">
        <v>34</v>
      </c>
      <c r="S139" s="3">
        <v>2.0042982230000002</v>
      </c>
      <c r="T139" s="1" t="s">
        <v>27</v>
      </c>
      <c r="U139" s="1" t="s">
        <v>39</v>
      </c>
      <c r="V139" s="4">
        <v>151.04795820000001</v>
      </c>
      <c r="W139" s="8">
        <f>Table1[[#This Row],[Revenue]]-Table1[[#This Row],[Shipping costs]]-Table1[[#This Row],[Manufacturing costs]]</f>
        <v>68.595686683000011</v>
      </c>
    </row>
    <row r="140" spans="1:23" ht="14.25" customHeight="1" x14ac:dyDescent="0.25">
      <c r="A140" s="1" t="s">
        <v>21</v>
      </c>
      <c r="B140" s="1" t="s">
        <v>186</v>
      </c>
      <c r="C140" s="2">
        <v>16.38</v>
      </c>
      <c r="D140" s="1">
        <v>92</v>
      </c>
      <c r="E140" s="1">
        <v>890</v>
      </c>
      <c r="F140" s="1">
        <v>29</v>
      </c>
      <c r="G140" s="1">
        <v>19</v>
      </c>
      <c r="H140" s="1" t="str">
        <f>IF(Table1[[#This Row],[Order quantities]]&gt;Table1[[#This Row],[Availability]], "High Risk", "Low Risk")</f>
        <v>Low Risk</v>
      </c>
      <c r="I140" s="1">
        <v>6</v>
      </c>
      <c r="J140" s="1" t="s">
        <v>31</v>
      </c>
      <c r="K140" s="4">
        <v>3.3057236300000001</v>
      </c>
      <c r="L140" s="1" t="s">
        <v>44</v>
      </c>
      <c r="M140" s="1" t="s">
        <v>49</v>
      </c>
      <c r="N140" s="1">
        <v>1</v>
      </c>
      <c r="O140" s="1">
        <v>324</v>
      </c>
      <c r="P140" s="1">
        <v>28</v>
      </c>
      <c r="Q140" s="4">
        <v>12.68114536</v>
      </c>
      <c r="R140" s="1" t="s">
        <v>34</v>
      </c>
      <c r="S140" s="3">
        <v>2.1383490790000002</v>
      </c>
      <c r="T140" s="1" t="s">
        <v>47</v>
      </c>
      <c r="U140" s="1" t="s">
        <v>53</v>
      </c>
      <c r="V140" s="4">
        <v>126.52871690000001</v>
      </c>
      <c r="W140" s="8">
        <f>Table1[[#This Row],[Revenue]]-Table1[[#This Row],[Shipping costs]]-Table1[[#This Row],[Manufacturing costs]]</f>
        <v>110.54184791</v>
      </c>
    </row>
    <row r="141" spans="1:23" ht="14.25" customHeight="1" x14ac:dyDescent="0.25">
      <c r="A141" s="1" t="s">
        <v>21</v>
      </c>
      <c r="B141" s="1" t="s">
        <v>187</v>
      </c>
      <c r="C141" s="2">
        <v>89.6</v>
      </c>
      <c r="D141" s="1">
        <v>62</v>
      </c>
      <c r="E141" s="1">
        <v>856</v>
      </c>
      <c r="F141" s="1">
        <v>30</v>
      </c>
      <c r="G141" s="1">
        <v>67</v>
      </c>
      <c r="H141" s="1" t="str">
        <f>IF(Table1[[#This Row],[Order quantities]]&gt;Table1[[#This Row],[Availability]], "High Risk", "Low Risk")</f>
        <v>High Risk</v>
      </c>
      <c r="I141" s="1">
        <v>6</v>
      </c>
      <c r="J141" s="1" t="s">
        <v>37</v>
      </c>
      <c r="K141" s="4">
        <v>2.9858595370000001</v>
      </c>
      <c r="L141" s="1" t="s">
        <v>41</v>
      </c>
      <c r="M141" s="1" t="s">
        <v>49</v>
      </c>
      <c r="N141" s="1">
        <v>19</v>
      </c>
      <c r="O141" s="1">
        <v>813</v>
      </c>
      <c r="P141" s="1">
        <v>11</v>
      </c>
      <c r="Q141" s="4">
        <v>10.880144230000001</v>
      </c>
      <c r="R141" s="1" t="s">
        <v>51</v>
      </c>
      <c r="S141" s="3">
        <v>3.7586877269999999</v>
      </c>
      <c r="T141" s="1" t="s">
        <v>47</v>
      </c>
      <c r="U141" s="1" t="s">
        <v>53</v>
      </c>
      <c r="V141" s="4">
        <v>260.43560330000003</v>
      </c>
      <c r="W141" s="8">
        <f>Table1[[#This Row],[Revenue]]-Table1[[#This Row],[Shipping costs]]-Table1[[#This Row],[Manufacturing costs]]</f>
        <v>246.569599533</v>
      </c>
    </row>
    <row r="142" spans="1:23" ht="14.25" customHeight="1" x14ac:dyDescent="0.25">
      <c r="A142" s="1" t="s">
        <v>29</v>
      </c>
      <c r="B142" s="1" t="s">
        <v>188</v>
      </c>
      <c r="C142" s="2">
        <v>61.39</v>
      </c>
      <c r="D142" s="1">
        <v>53</v>
      </c>
      <c r="E142" s="1">
        <v>27</v>
      </c>
      <c r="F142" s="1">
        <v>25</v>
      </c>
      <c r="G142" s="1">
        <v>74</v>
      </c>
      <c r="H142" s="1" t="str">
        <f>IF(Table1[[#This Row],[Order quantities]]&gt;Table1[[#This Row],[Availability]], "High Risk", "Low Risk")</f>
        <v>High Risk</v>
      </c>
      <c r="I142" s="1">
        <v>8</v>
      </c>
      <c r="J142" s="1" t="s">
        <v>23</v>
      </c>
      <c r="K142" s="4">
        <v>2.2431276379999998</v>
      </c>
      <c r="L142" s="1" t="s">
        <v>32</v>
      </c>
      <c r="M142" s="1" t="s">
        <v>62</v>
      </c>
      <c r="N142" s="1">
        <v>5</v>
      </c>
      <c r="O142" s="1">
        <v>837</v>
      </c>
      <c r="P142" s="1">
        <v>1</v>
      </c>
      <c r="Q142" s="4">
        <v>16.761061909999999</v>
      </c>
      <c r="R142" s="1" t="s">
        <v>34</v>
      </c>
      <c r="S142" s="3">
        <v>0.55972717500000002</v>
      </c>
      <c r="T142" s="1" t="s">
        <v>47</v>
      </c>
      <c r="U142" s="1" t="s">
        <v>53</v>
      </c>
      <c r="V142" s="4">
        <v>987.80295339999998</v>
      </c>
      <c r="W142" s="8">
        <f>Table1[[#This Row],[Revenue]]-Table1[[#This Row],[Shipping costs]]-Table1[[#This Row],[Manufacturing costs]]</f>
        <v>968.79876385199998</v>
      </c>
    </row>
    <row r="143" spans="1:23" ht="14.25" customHeight="1" x14ac:dyDescent="0.25">
      <c r="A143" s="1" t="s">
        <v>29</v>
      </c>
      <c r="B143" s="1" t="s">
        <v>189</v>
      </c>
      <c r="C143" s="2">
        <v>69.510000000000005</v>
      </c>
      <c r="D143" s="1">
        <v>73</v>
      </c>
      <c r="E143" s="1">
        <v>65</v>
      </c>
      <c r="F143" s="1">
        <v>17</v>
      </c>
      <c r="G143" s="1">
        <v>40</v>
      </c>
      <c r="H143" s="1" t="str">
        <f>IF(Table1[[#This Row],[Order quantities]]&gt;Table1[[#This Row],[Availability]], "High Risk", "Low Risk")</f>
        <v>Low Risk</v>
      </c>
      <c r="I143" s="1">
        <v>5</v>
      </c>
      <c r="J143" s="1" t="s">
        <v>23</v>
      </c>
      <c r="K143" s="4">
        <v>8.7320058189999994</v>
      </c>
      <c r="L143" s="1" t="s">
        <v>38</v>
      </c>
      <c r="M143" s="1" t="s">
        <v>25</v>
      </c>
      <c r="N143" s="1">
        <v>13</v>
      </c>
      <c r="O143" s="1">
        <v>335</v>
      </c>
      <c r="P143" s="1">
        <v>1</v>
      </c>
      <c r="Q143" s="4">
        <v>58.20940556</v>
      </c>
      <c r="R143" s="1" t="s">
        <v>34</v>
      </c>
      <c r="S143" s="3">
        <v>2.6116611249999999</v>
      </c>
      <c r="T143" s="1" t="s">
        <v>27</v>
      </c>
      <c r="U143" s="1" t="s">
        <v>53</v>
      </c>
      <c r="V143" s="4">
        <v>743.56873059999998</v>
      </c>
      <c r="W143" s="8">
        <f>Table1[[#This Row],[Revenue]]-Table1[[#This Row],[Shipping costs]]-Table1[[#This Row],[Manufacturing costs]]</f>
        <v>676.62731922099988</v>
      </c>
    </row>
    <row r="144" spans="1:23" ht="14.25" customHeight="1" x14ac:dyDescent="0.25">
      <c r="A144" s="1" t="s">
        <v>21</v>
      </c>
      <c r="B144" s="1" t="s">
        <v>190</v>
      </c>
      <c r="C144" s="2">
        <v>79.97</v>
      </c>
      <c r="D144" s="1">
        <v>97</v>
      </c>
      <c r="E144" s="1">
        <v>162</v>
      </c>
      <c r="F144" s="1">
        <v>2</v>
      </c>
      <c r="G144" s="1">
        <v>47</v>
      </c>
      <c r="H144" s="1" t="str">
        <f>IF(Table1[[#This Row],[Order quantities]]&gt;Table1[[#This Row],[Availability]], "High Risk", "Low Risk")</f>
        <v>Low Risk</v>
      </c>
      <c r="I144" s="1">
        <v>3</v>
      </c>
      <c r="J144" s="1" t="s">
        <v>43</v>
      </c>
      <c r="K144" s="4">
        <v>5.5005243330000004</v>
      </c>
      <c r="L144" s="1" t="s">
        <v>44</v>
      </c>
      <c r="M144" s="1" t="s">
        <v>25</v>
      </c>
      <c r="N144" s="1">
        <v>19</v>
      </c>
      <c r="O144" s="1">
        <v>282</v>
      </c>
      <c r="P144" s="1">
        <v>13</v>
      </c>
      <c r="Q144" s="4">
        <v>86.900957489999996</v>
      </c>
      <c r="R144" s="1" t="s">
        <v>51</v>
      </c>
      <c r="S144" s="3">
        <v>2.8645544799999998</v>
      </c>
      <c r="T144" s="1" t="s">
        <v>35</v>
      </c>
      <c r="U144" s="1" t="s">
        <v>28</v>
      </c>
      <c r="V144" s="4">
        <v>653.17700709999997</v>
      </c>
      <c r="W144" s="8">
        <f>Table1[[#This Row],[Revenue]]-Table1[[#This Row],[Shipping costs]]-Table1[[#This Row],[Manufacturing costs]]</f>
        <v>560.77552527699993</v>
      </c>
    </row>
    <row r="145" spans="1:23" ht="14.25" customHeight="1" x14ac:dyDescent="0.25">
      <c r="A145" s="1" t="s">
        <v>29</v>
      </c>
      <c r="B145" s="1" t="s">
        <v>191</v>
      </c>
      <c r="C145" s="2">
        <v>13.26</v>
      </c>
      <c r="D145" s="1">
        <v>89</v>
      </c>
      <c r="E145" s="1">
        <v>260</v>
      </c>
      <c r="F145" s="1">
        <v>9</v>
      </c>
      <c r="G145" s="1">
        <v>29</v>
      </c>
      <c r="H145" s="1" t="str">
        <f>IF(Table1[[#This Row],[Order quantities]]&gt;Table1[[#This Row],[Availability]], "High Risk", "Low Risk")</f>
        <v>Low Risk</v>
      </c>
      <c r="I145" s="1">
        <v>6</v>
      </c>
      <c r="J145" s="1" t="s">
        <v>43</v>
      </c>
      <c r="K145" s="4">
        <v>3.1515974569999998</v>
      </c>
      <c r="L145" s="1" t="s">
        <v>44</v>
      </c>
      <c r="M145" s="1" t="s">
        <v>62</v>
      </c>
      <c r="N145" s="1">
        <v>16</v>
      </c>
      <c r="O145" s="1">
        <v>968</v>
      </c>
      <c r="P145" s="1">
        <v>20</v>
      </c>
      <c r="Q145" s="4">
        <v>94.299517410000007</v>
      </c>
      <c r="R145" s="1" t="s">
        <v>26</v>
      </c>
      <c r="S145" s="3">
        <v>3.68617894</v>
      </c>
      <c r="T145" s="1" t="s">
        <v>35</v>
      </c>
      <c r="U145" s="1" t="s">
        <v>39</v>
      </c>
      <c r="V145" s="4">
        <v>891.19920149999996</v>
      </c>
      <c r="W145" s="8">
        <f>Table1[[#This Row],[Revenue]]-Table1[[#This Row],[Shipping costs]]-Table1[[#This Row],[Manufacturing costs]]</f>
        <v>793.74808663299996</v>
      </c>
    </row>
    <row r="146" spans="1:23" ht="14.25" customHeight="1" x14ac:dyDescent="0.25">
      <c r="A146" s="1" t="s">
        <v>21</v>
      </c>
      <c r="B146" s="1" t="s">
        <v>192</v>
      </c>
      <c r="C146" s="2">
        <v>56.03</v>
      </c>
      <c r="D146" s="1">
        <v>40</v>
      </c>
      <c r="E146" s="1">
        <v>448</v>
      </c>
      <c r="F146" s="1">
        <v>29</v>
      </c>
      <c r="G146" s="1">
        <v>50</v>
      </c>
      <c r="H146" s="1" t="str">
        <f>IF(Table1[[#This Row],[Order quantities]]&gt;Table1[[#This Row],[Availability]], "High Risk", "Low Risk")</f>
        <v>High Risk</v>
      </c>
      <c r="I146" s="1">
        <v>2</v>
      </c>
      <c r="J146" s="1" t="s">
        <v>43</v>
      </c>
      <c r="K146" s="4">
        <v>7.8223637889999997</v>
      </c>
      <c r="L146" s="1" t="s">
        <v>38</v>
      </c>
      <c r="M146" s="1" t="s">
        <v>49</v>
      </c>
      <c r="N146" s="1">
        <v>25</v>
      </c>
      <c r="O146" s="1">
        <v>857</v>
      </c>
      <c r="P146" s="1">
        <v>1</v>
      </c>
      <c r="Q146" s="4">
        <v>19.565066040000001</v>
      </c>
      <c r="R146" s="1" t="s">
        <v>34</v>
      </c>
      <c r="S146" s="3">
        <v>1.9805771539999999</v>
      </c>
      <c r="T146" s="1" t="s">
        <v>35</v>
      </c>
      <c r="U146" s="1" t="s">
        <v>39</v>
      </c>
      <c r="V146" s="4">
        <v>831.48116800000003</v>
      </c>
      <c r="W146" s="8">
        <f>Table1[[#This Row],[Revenue]]-Table1[[#This Row],[Shipping costs]]-Table1[[#This Row],[Manufacturing costs]]</f>
        <v>804.09373817100004</v>
      </c>
    </row>
    <row r="147" spans="1:23" ht="14.25" customHeight="1" x14ac:dyDescent="0.25">
      <c r="A147" s="1" t="s">
        <v>21</v>
      </c>
      <c r="B147" s="1" t="s">
        <v>193</v>
      </c>
      <c r="C147" s="2">
        <v>60.75</v>
      </c>
      <c r="D147" s="1">
        <v>2</v>
      </c>
      <c r="E147" s="1">
        <v>423</v>
      </c>
      <c r="F147" s="1">
        <v>9</v>
      </c>
      <c r="G147" s="1">
        <v>98</v>
      </c>
      <c r="H147" s="1" t="str">
        <f>IF(Table1[[#This Row],[Order quantities]]&gt;Table1[[#This Row],[Availability]], "High Risk", "Low Risk")</f>
        <v>High Risk</v>
      </c>
      <c r="I147" s="1">
        <v>6</v>
      </c>
      <c r="J147" s="1" t="s">
        <v>23</v>
      </c>
      <c r="K147" s="4">
        <v>7.8400499049999999</v>
      </c>
      <c r="L147" s="1" t="s">
        <v>37</v>
      </c>
      <c r="M147" s="1" t="s">
        <v>49</v>
      </c>
      <c r="N147" s="1">
        <v>25</v>
      </c>
      <c r="O147" s="1">
        <v>543</v>
      </c>
      <c r="P147" s="1">
        <v>20</v>
      </c>
      <c r="Q147" s="4">
        <v>85.778517530000002</v>
      </c>
      <c r="R147" s="1" t="s">
        <v>26</v>
      </c>
      <c r="S147" s="3">
        <v>4.7303386119999997</v>
      </c>
      <c r="T147" s="1" t="s">
        <v>27</v>
      </c>
      <c r="U147" s="1" t="s">
        <v>28</v>
      </c>
      <c r="V147" s="4">
        <v>698.32003950000001</v>
      </c>
      <c r="W147" s="8">
        <f>Table1[[#This Row],[Revenue]]-Table1[[#This Row],[Shipping costs]]-Table1[[#This Row],[Manufacturing costs]]</f>
        <v>604.70147206499996</v>
      </c>
    </row>
    <row r="148" spans="1:23" ht="14.25" customHeight="1" x14ac:dyDescent="0.25">
      <c r="A148" s="1" t="s">
        <v>29</v>
      </c>
      <c r="B148" s="1" t="s">
        <v>194</v>
      </c>
      <c r="C148" s="2">
        <v>75.819999999999993</v>
      </c>
      <c r="D148" s="1">
        <v>5</v>
      </c>
      <c r="E148" s="1">
        <v>459</v>
      </c>
      <c r="F148" s="1">
        <v>13</v>
      </c>
      <c r="G148" s="1">
        <v>13</v>
      </c>
      <c r="H148" s="1" t="str">
        <f>IF(Table1[[#This Row],[Order quantities]]&gt;Table1[[#This Row],[Availability]], "High Risk", "Low Risk")</f>
        <v>High Risk</v>
      </c>
      <c r="I148" s="1">
        <v>6</v>
      </c>
      <c r="J148" s="1" t="s">
        <v>43</v>
      </c>
      <c r="K148" s="4">
        <v>3.8133822240000002</v>
      </c>
      <c r="L148" s="1" t="s">
        <v>44</v>
      </c>
      <c r="M148" s="1" t="s">
        <v>55</v>
      </c>
      <c r="N148" s="1">
        <v>19</v>
      </c>
      <c r="O148" s="1">
        <v>964</v>
      </c>
      <c r="P148" s="1">
        <v>3</v>
      </c>
      <c r="Q148" s="4">
        <v>53.456928849999997</v>
      </c>
      <c r="R148" s="1" t="s">
        <v>51</v>
      </c>
      <c r="S148" s="3">
        <v>2.4608368679999999</v>
      </c>
      <c r="T148" s="1" t="s">
        <v>47</v>
      </c>
      <c r="U148" s="1" t="s">
        <v>28</v>
      </c>
      <c r="V148" s="4">
        <v>405.21773389999998</v>
      </c>
      <c r="W148" s="8">
        <f>Table1[[#This Row],[Revenue]]-Table1[[#This Row],[Shipping costs]]-Table1[[#This Row],[Manufacturing costs]]</f>
        <v>347.94742282599998</v>
      </c>
    </row>
    <row r="149" spans="1:23" ht="14.25" customHeight="1" x14ac:dyDescent="0.25">
      <c r="A149" s="1" t="s">
        <v>114</v>
      </c>
      <c r="B149" s="1" t="s">
        <v>195</v>
      </c>
      <c r="C149" s="2">
        <v>46.01</v>
      </c>
      <c r="D149" s="1">
        <v>4</v>
      </c>
      <c r="E149" s="1">
        <v>951</v>
      </c>
      <c r="F149" s="1">
        <v>6</v>
      </c>
      <c r="G149" s="1">
        <v>1</v>
      </c>
      <c r="H149" s="1" t="str">
        <f>IF(Table1[[#This Row],[Order quantities]]&gt;Table1[[#This Row],[Availability]], "High Risk", "Low Risk")</f>
        <v>Low Risk</v>
      </c>
      <c r="I149" s="1">
        <v>8</v>
      </c>
      <c r="J149" s="1" t="s">
        <v>43</v>
      </c>
      <c r="K149" s="4">
        <v>4.6961436970000001</v>
      </c>
      <c r="L149" s="1" t="s">
        <v>24</v>
      </c>
      <c r="M149" s="1" t="s">
        <v>49</v>
      </c>
      <c r="N149" s="1">
        <v>3</v>
      </c>
      <c r="O149" s="1">
        <v>722</v>
      </c>
      <c r="P149" s="1">
        <v>18</v>
      </c>
      <c r="Q149" s="4">
        <v>69.342164859999997</v>
      </c>
      <c r="R149" s="1" t="s">
        <v>34</v>
      </c>
      <c r="S149" s="3">
        <v>2.898948157</v>
      </c>
      <c r="T149" s="1" t="s">
        <v>35</v>
      </c>
      <c r="U149" s="1" t="s">
        <v>39</v>
      </c>
      <c r="V149" s="4">
        <v>163.45446000000001</v>
      </c>
      <c r="W149" s="8">
        <f>Table1[[#This Row],[Revenue]]-Table1[[#This Row],[Shipping costs]]-Table1[[#This Row],[Manufacturing costs]]</f>
        <v>89.416151443000018</v>
      </c>
    </row>
    <row r="150" spans="1:23" ht="14.25" customHeight="1" x14ac:dyDescent="0.25">
      <c r="A150" s="1" t="s">
        <v>21</v>
      </c>
      <c r="B150" s="1" t="s">
        <v>196</v>
      </c>
      <c r="C150" s="2">
        <v>17.12</v>
      </c>
      <c r="D150" s="1">
        <v>4</v>
      </c>
      <c r="E150" s="1">
        <v>675</v>
      </c>
      <c r="F150" s="1">
        <v>6</v>
      </c>
      <c r="G150" s="1">
        <v>34</v>
      </c>
      <c r="H150" s="1" t="str">
        <f>IF(Table1[[#This Row],[Order quantities]]&gt;Table1[[#This Row],[Availability]], "High Risk", "Low Risk")</f>
        <v>High Risk</v>
      </c>
      <c r="I150" s="1">
        <v>7</v>
      </c>
      <c r="J150" s="1" t="s">
        <v>31</v>
      </c>
      <c r="K150" s="4">
        <v>2.8872124970000002</v>
      </c>
      <c r="L150" s="1" t="s">
        <v>41</v>
      </c>
      <c r="M150" s="1" t="s">
        <v>25</v>
      </c>
      <c r="N150" s="1">
        <v>12</v>
      </c>
      <c r="O150" s="1">
        <v>105</v>
      </c>
      <c r="P150" s="1">
        <v>9</v>
      </c>
      <c r="Q150" s="4">
        <v>55.961468600000003</v>
      </c>
      <c r="R150" s="1" t="s">
        <v>26</v>
      </c>
      <c r="S150" s="3">
        <v>4.1451010339999996</v>
      </c>
      <c r="T150" s="1" t="s">
        <v>35</v>
      </c>
      <c r="U150" s="1" t="s">
        <v>28</v>
      </c>
      <c r="V150" s="4">
        <v>622.03463910000005</v>
      </c>
      <c r="W150" s="8">
        <f>Table1[[#This Row],[Revenue]]-Table1[[#This Row],[Shipping costs]]-Table1[[#This Row],[Manufacturing costs]]</f>
        <v>563.18595800300011</v>
      </c>
    </row>
    <row r="151" spans="1:23" ht="14.25" customHeight="1" x14ac:dyDescent="0.25">
      <c r="A151" s="1" t="s">
        <v>29</v>
      </c>
      <c r="B151" s="1" t="s">
        <v>197</v>
      </c>
      <c r="C151" s="2">
        <v>31.96</v>
      </c>
      <c r="D151" s="1">
        <v>53</v>
      </c>
      <c r="E151" s="1">
        <v>300</v>
      </c>
      <c r="F151" s="1">
        <v>20</v>
      </c>
      <c r="G151" s="1">
        <v>93</v>
      </c>
      <c r="H151" s="1" t="str">
        <f>IF(Table1[[#This Row],[Order quantities]]&gt;Table1[[#This Row],[Availability]], "High Risk", "Low Risk")</f>
        <v>High Risk</v>
      </c>
      <c r="I151" s="1">
        <v>8</v>
      </c>
      <c r="J151" s="1" t="s">
        <v>23</v>
      </c>
      <c r="K151" s="4">
        <v>9.7890492099999999</v>
      </c>
      <c r="L151" s="1" t="s">
        <v>44</v>
      </c>
      <c r="M151" s="1" t="s">
        <v>62</v>
      </c>
      <c r="N151" s="1">
        <v>30</v>
      </c>
      <c r="O151" s="1">
        <v>335</v>
      </c>
      <c r="P151" s="1">
        <v>14</v>
      </c>
      <c r="Q151" s="4">
        <v>52.93434027</v>
      </c>
      <c r="R151" s="1" t="s">
        <v>26</v>
      </c>
      <c r="S151" s="3">
        <v>1.448656919</v>
      </c>
      <c r="T151" s="1" t="s">
        <v>35</v>
      </c>
      <c r="U151" s="1" t="s">
        <v>39</v>
      </c>
      <c r="V151" s="4">
        <v>747.72511429999997</v>
      </c>
      <c r="W151" s="8">
        <f>Table1[[#This Row],[Revenue]]-Table1[[#This Row],[Shipping costs]]-Table1[[#This Row],[Manufacturing costs]]</f>
        <v>685.00172481999994</v>
      </c>
    </row>
    <row r="152" spans="1:23" ht="14.25" customHeight="1" x14ac:dyDescent="0.25">
      <c r="A152" s="1" t="s">
        <v>29</v>
      </c>
      <c r="B152" s="1" t="s">
        <v>198</v>
      </c>
      <c r="C152" s="2">
        <v>39.49</v>
      </c>
      <c r="D152" s="1">
        <v>46</v>
      </c>
      <c r="E152" s="1">
        <v>918</v>
      </c>
      <c r="F152" s="1">
        <v>20</v>
      </c>
      <c r="G152" s="1">
        <v>48</v>
      </c>
      <c r="H152" s="1" t="str">
        <f>IF(Table1[[#This Row],[Order quantities]]&gt;Table1[[#This Row],[Availability]], "High Risk", "Low Risk")</f>
        <v>High Risk</v>
      </c>
      <c r="I152" s="1">
        <v>9</v>
      </c>
      <c r="J152" s="1" t="s">
        <v>31</v>
      </c>
      <c r="K152" s="4">
        <v>6.8104231940000002</v>
      </c>
      <c r="L152" s="1" t="s">
        <v>44</v>
      </c>
      <c r="M152" s="1" t="s">
        <v>33</v>
      </c>
      <c r="N152" s="1">
        <v>5</v>
      </c>
      <c r="O152" s="1">
        <v>226</v>
      </c>
      <c r="P152" s="1">
        <v>27</v>
      </c>
      <c r="Q152" s="4">
        <v>85.140948550000005</v>
      </c>
      <c r="R152" s="1" t="s">
        <v>51</v>
      </c>
      <c r="S152" s="3">
        <v>0.46848994100000002</v>
      </c>
      <c r="T152" s="1" t="s">
        <v>35</v>
      </c>
      <c r="U152" s="1" t="s">
        <v>53</v>
      </c>
      <c r="V152" s="4">
        <v>184.81631540000001</v>
      </c>
      <c r="W152" s="8">
        <f>Table1[[#This Row],[Revenue]]-Table1[[#This Row],[Shipping costs]]-Table1[[#This Row],[Manufacturing costs]]</f>
        <v>92.864943655999994</v>
      </c>
    </row>
    <row r="153" spans="1:23" ht="14.25" customHeight="1" x14ac:dyDescent="0.25">
      <c r="A153" s="1" t="s">
        <v>21</v>
      </c>
      <c r="B153" s="1" t="s">
        <v>199</v>
      </c>
      <c r="C153" s="2">
        <v>66.36</v>
      </c>
      <c r="D153" s="1">
        <v>86</v>
      </c>
      <c r="E153" s="1">
        <v>302</v>
      </c>
      <c r="F153" s="1">
        <v>21</v>
      </c>
      <c r="G153" s="1">
        <v>77</v>
      </c>
      <c r="H153" s="1" t="str">
        <f>IF(Table1[[#This Row],[Order quantities]]&gt;Table1[[#This Row],[Availability]], "High Risk", "Low Risk")</f>
        <v>Low Risk</v>
      </c>
      <c r="I153" s="1">
        <v>6</v>
      </c>
      <c r="J153" s="1" t="s">
        <v>23</v>
      </c>
      <c r="K153" s="4">
        <v>9.4108949259999992</v>
      </c>
      <c r="L153" s="1" t="s">
        <v>38</v>
      </c>
      <c r="M153" s="1" t="s">
        <v>55</v>
      </c>
      <c r="N153" s="1">
        <v>2</v>
      </c>
      <c r="O153" s="1">
        <v>203</v>
      </c>
      <c r="P153" s="1">
        <v>17</v>
      </c>
      <c r="Q153" s="4">
        <v>78.029774160000002</v>
      </c>
      <c r="R153" s="1" t="s">
        <v>51</v>
      </c>
      <c r="S153" s="3">
        <v>3.5681414939999998</v>
      </c>
      <c r="T153" s="1" t="s">
        <v>27</v>
      </c>
      <c r="U153" s="1" t="s">
        <v>39</v>
      </c>
      <c r="V153" s="4">
        <v>670.39089379999996</v>
      </c>
      <c r="W153" s="8">
        <f>Table1[[#This Row],[Revenue]]-Table1[[#This Row],[Shipping costs]]-Table1[[#This Row],[Manufacturing costs]]</f>
        <v>582.950224714</v>
      </c>
    </row>
    <row r="154" spans="1:23" ht="14.25" customHeight="1" x14ac:dyDescent="0.25">
      <c r="A154" s="1" t="s">
        <v>29</v>
      </c>
      <c r="B154" s="1" t="s">
        <v>200</v>
      </c>
      <c r="C154" s="2">
        <v>59.22</v>
      </c>
      <c r="D154" s="1">
        <v>48</v>
      </c>
      <c r="E154" s="1">
        <v>286</v>
      </c>
      <c r="F154" s="1">
        <v>3</v>
      </c>
      <c r="G154" s="1">
        <v>48</v>
      </c>
      <c r="H154" s="1" t="str">
        <f>IF(Table1[[#This Row],[Order quantities]]&gt;Table1[[#This Row],[Availability]], "High Risk", "Low Risk")</f>
        <v>Low Risk</v>
      </c>
      <c r="I154" s="1">
        <v>3</v>
      </c>
      <c r="J154" s="1" t="s">
        <v>31</v>
      </c>
      <c r="K154" s="4">
        <v>3.730469893</v>
      </c>
      <c r="L154" s="1" t="s">
        <v>38</v>
      </c>
      <c r="M154" s="1" t="s">
        <v>46</v>
      </c>
      <c r="N154" s="1">
        <v>22</v>
      </c>
      <c r="O154" s="1">
        <v>848</v>
      </c>
      <c r="P154" s="1">
        <v>23</v>
      </c>
      <c r="Q154" s="4">
        <v>53.50620129</v>
      </c>
      <c r="R154" s="1" t="s">
        <v>34</v>
      </c>
      <c r="S154" s="3">
        <v>2.4667580920000001</v>
      </c>
      <c r="T154" s="1" t="s">
        <v>27</v>
      </c>
      <c r="U154" s="1" t="s">
        <v>28</v>
      </c>
      <c r="V154" s="4">
        <v>357.72946109999998</v>
      </c>
      <c r="W154" s="8">
        <f>Table1[[#This Row],[Revenue]]-Table1[[#This Row],[Shipping costs]]-Table1[[#This Row],[Manufacturing costs]]</f>
        <v>300.49278991699998</v>
      </c>
    </row>
    <row r="155" spans="1:23" ht="14.25" customHeight="1" x14ac:dyDescent="0.25">
      <c r="A155" s="1" t="s">
        <v>21</v>
      </c>
      <c r="B155" s="1" t="s">
        <v>201</v>
      </c>
      <c r="C155" s="2">
        <v>38.83</v>
      </c>
      <c r="D155" s="1">
        <v>8</v>
      </c>
      <c r="E155" s="1">
        <v>394</v>
      </c>
      <c r="F155" s="1">
        <v>17</v>
      </c>
      <c r="G155" s="1">
        <v>49</v>
      </c>
      <c r="H155" s="1" t="str">
        <f>IF(Table1[[#This Row],[Order quantities]]&gt;Table1[[#This Row],[Availability]], "High Risk", "Low Risk")</f>
        <v>High Risk</v>
      </c>
      <c r="I155" s="1">
        <v>3</v>
      </c>
      <c r="J155" s="1" t="s">
        <v>43</v>
      </c>
      <c r="K155" s="4">
        <v>8.037018217</v>
      </c>
      <c r="L155" s="1" t="s">
        <v>32</v>
      </c>
      <c r="M155" s="1" t="s">
        <v>62</v>
      </c>
      <c r="N155" s="1">
        <v>7</v>
      </c>
      <c r="O155" s="1">
        <v>579</v>
      </c>
      <c r="P155" s="1">
        <v>14</v>
      </c>
      <c r="Q155" s="4">
        <v>20.047233649999999</v>
      </c>
      <c r="R155" s="1" t="s">
        <v>34</v>
      </c>
      <c r="S155" s="3">
        <v>4.4928708300000002</v>
      </c>
      <c r="T155" s="1" t="s">
        <v>47</v>
      </c>
      <c r="U155" s="1" t="s">
        <v>28</v>
      </c>
      <c r="V155" s="4">
        <v>787.81979909999995</v>
      </c>
      <c r="W155" s="8">
        <f>Table1[[#This Row],[Revenue]]-Table1[[#This Row],[Shipping costs]]-Table1[[#This Row],[Manufacturing costs]]</f>
        <v>759.73554723300003</v>
      </c>
    </row>
    <row r="156" spans="1:23" ht="14.25" customHeight="1" x14ac:dyDescent="0.25">
      <c r="A156" s="1" t="s">
        <v>29</v>
      </c>
      <c r="B156" s="1" t="s">
        <v>202</v>
      </c>
      <c r="C156" s="2">
        <v>98.72</v>
      </c>
      <c r="D156" s="1">
        <v>98</v>
      </c>
      <c r="E156" s="1">
        <v>9</v>
      </c>
      <c r="F156" s="1">
        <v>17</v>
      </c>
      <c r="G156" s="1">
        <v>64</v>
      </c>
      <c r="H156" s="1" t="str">
        <f>IF(Table1[[#This Row],[Order quantities]]&gt;Table1[[#This Row],[Availability]], "High Risk", "Low Risk")</f>
        <v>Low Risk</v>
      </c>
      <c r="I156" s="1">
        <v>1</v>
      </c>
      <c r="J156" s="1" t="s">
        <v>23</v>
      </c>
      <c r="K156" s="4">
        <v>7.8927277949999999</v>
      </c>
      <c r="L156" s="1" t="s">
        <v>41</v>
      </c>
      <c r="M156" s="1" t="s">
        <v>49</v>
      </c>
      <c r="N156" s="1">
        <v>13</v>
      </c>
      <c r="O156" s="1">
        <v>254</v>
      </c>
      <c r="P156" s="1">
        <v>29</v>
      </c>
      <c r="Q156" s="4">
        <v>20.386266339999999</v>
      </c>
      <c r="R156" s="1" t="s">
        <v>26</v>
      </c>
      <c r="S156" s="3">
        <v>4.9151322390000001</v>
      </c>
      <c r="T156" s="1" t="s">
        <v>47</v>
      </c>
      <c r="U156" s="1" t="s">
        <v>39</v>
      </c>
      <c r="V156" s="4">
        <v>585.65426549999995</v>
      </c>
      <c r="W156" s="8">
        <f>Table1[[#This Row],[Revenue]]-Table1[[#This Row],[Shipping costs]]-Table1[[#This Row],[Manufacturing costs]]</f>
        <v>557.37527136499989</v>
      </c>
    </row>
    <row r="157" spans="1:23" ht="14.25" customHeight="1" x14ac:dyDescent="0.25">
      <c r="A157" s="1" t="s">
        <v>29</v>
      </c>
      <c r="B157" s="1" t="s">
        <v>203</v>
      </c>
      <c r="C157" s="2">
        <v>62.55</v>
      </c>
      <c r="D157" s="1">
        <v>19</v>
      </c>
      <c r="E157" s="1">
        <v>706</v>
      </c>
      <c r="F157" s="1">
        <v>12</v>
      </c>
      <c r="G157" s="1">
        <v>61</v>
      </c>
      <c r="H157" s="1" t="str">
        <f>IF(Table1[[#This Row],[Order quantities]]&gt;Table1[[#This Row],[Availability]], "High Risk", "Low Risk")</f>
        <v>High Risk</v>
      </c>
      <c r="I157" s="1">
        <v>5</v>
      </c>
      <c r="J157" s="1" t="s">
        <v>31</v>
      </c>
      <c r="K157" s="4">
        <v>7.2249008669999997</v>
      </c>
      <c r="L157" s="1" t="s">
        <v>41</v>
      </c>
      <c r="M157" s="1" t="s">
        <v>33</v>
      </c>
      <c r="N157" s="1">
        <v>25</v>
      </c>
      <c r="O157" s="1">
        <v>356</v>
      </c>
      <c r="P157" s="1">
        <v>4</v>
      </c>
      <c r="Q157" s="4">
        <v>82.138551469999996</v>
      </c>
      <c r="R157" s="1" t="s">
        <v>26</v>
      </c>
      <c r="S157" s="3">
        <v>2.0556358179999998</v>
      </c>
      <c r="T157" s="1" t="s">
        <v>27</v>
      </c>
      <c r="U157" s="1" t="s">
        <v>53</v>
      </c>
      <c r="V157" s="4">
        <v>216.13310899999999</v>
      </c>
      <c r="W157" s="8">
        <f>Table1[[#This Row],[Revenue]]-Table1[[#This Row],[Shipping costs]]-Table1[[#This Row],[Manufacturing costs]]</f>
        <v>126.76965666299999</v>
      </c>
    </row>
    <row r="158" spans="1:23" ht="14.25" customHeight="1" x14ac:dyDescent="0.25">
      <c r="A158" s="1" t="s">
        <v>29</v>
      </c>
      <c r="B158" s="1" t="s">
        <v>204</v>
      </c>
      <c r="C158" s="2">
        <v>27.54</v>
      </c>
      <c r="D158" s="1">
        <v>60</v>
      </c>
      <c r="E158" s="1">
        <v>629</v>
      </c>
      <c r="F158" s="1">
        <v>16</v>
      </c>
      <c r="G158" s="1">
        <v>29</v>
      </c>
      <c r="H158" s="1" t="str">
        <f>IF(Table1[[#This Row],[Order quantities]]&gt;Table1[[#This Row],[Availability]], "High Risk", "Low Risk")</f>
        <v>Low Risk</v>
      </c>
      <c r="I158" s="1">
        <v>4</v>
      </c>
      <c r="J158" s="1" t="s">
        <v>31</v>
      </c>
      <c r="K158" s="4">
        <v>9.6907507769999999</v>
      </c>
      <c r="L158" s="1" t="s">
        <v>44</v>
      </c>
      <c r="M158" s="1" t="s">
        <v>55</v>
      </c>
      <c r="N158" s="1">
        <v>15</v>
      </c>
      <c r="O158" s="1">
        <v>334</v>
      </c>
      <c r="P158" s="1">
        <v>5</v>
      </c>
      <c r="Q158" s="4">
        <v>57.645155920000001</v>
      </c>
      <c r="R158" s="1" t="s">
        <v>34</v>
      </c>
      <c r="S158" s="3">
        <v>2.13565118</v>
      </c>
      <c r="T158" s="1" t="s">
        <v>35</v>
      </c>
      <c r="U158" s="1" t="s">
        <v>28</v>
      </c>
      <c r="V158" s="4">
        <v>573.86750300000006</v>
      </c>
      <c r="W158" s="8">
        <f>Table1[[#This Row],[Revenue]]-Table1[[#This Row],[Shipping costs]]-Table1[[#This Row],[Manufacturing costs]]</f>
        <v>506.53159630300013</v>
      </c>
    </row>
    <row r="159" spans="1:23" ht="14.25" customHeight="1" x14ac:dyDescent="0.25">
      <c r="A159" s="1" t="s">
        <v>21</v>
      </c>
      <c r="B159" s="1" t="s">
        <v>205</v>
      </c>
      <c r="C159" s="2">
        <v>14.67</v>
      </c>
      <c r="D159" s="1">
        <v>34</v>
      </c>
      <c r="E159" s="1">
        <v>269</v>
      </c>
      <c r="F159" s="1">
        <v>15</v>
      </c>
      <c r="G159" s="1">
        <v>39</v>
      </c>
      <c r="H159" s="1" t="str">
        <f>IF(Table1[[#This Row],[Order quantities]]&gt;Table1[[#This Row],[Availability]], "High Risk", "Low Risk")</f>
        <v>High Risk</v>
      </c>
      <c r="I159" s="1">
        <v>9</v>
      </c>
      <c r="J159" s="1" t="s">
        <v>31</v>
      </c>
      <c r="K159" s="4">
        <v>4.5419980249999998</v>
      </c>
      <c r="L159" s="1" t="s">
        <v>24</v>
      </c>
      <c r="M159" s="1" t="s">
        <v>33</v>
      </c>
      <c r="N159" s="1">
        <v>22</v>
      </c>
      <c r="O159" s="1">
        <v>599</v>
      </c>
      <c r="P159" s="1">
        <v>26</v>
      </c>
      <c r="Q159" s="4">
        <v>53.343022619999999</v>
      </c>
      <c r="R159" s="1" t="s">
        <v>26</v>
      </c>
      <c r="S159" s="3">
        <v>2.0990167510000002</v>
      </c>
      <c r="T159" s="1" t="s">
        <v>47</v>
      </c>
      <c r="U159" s="1" t="s">
        <v>28</v>
      </c>
      <c r="V159" s="4">
        <v>456.16317700000002</v>
      </c>
      <c r="W159" s="8">
        <f>Table1[[#This Row],[Revenue]]-Table1[[#This Row],[Shipping costs]]-Table1[[#This Row],[Manufacturing costs]]</f>
        <v>398.27815635500002</v>
      </c>
    </row>
    <row r="160" spans="1:23" ht="14.25" customHeight="1" x14ac:dyDescent="0.25">
      <c r="A160" s="1" t="s">
        <v>29</v>
      </c>
      <c r="B160" s="1" t="s">
        <v>206</v>
      </c>
      <c r="C160" s="2">
        <v>19.52</v>
      </c>
      <c r="D160" s="1">
        <v>49</v>
      </c>
      <c r="E160" s="1">
        <v>591</v>
      </c>
      <c r="F160" s="1">
        <v>13</v>
      </c>
      <c r="G160" s="1">
        <v>88</v>
      </c>
      <c r="H160" s="1" t="str">
        <f>IF(Table1[[#This Row],[Order quantities]]&gt;Table1[[#This Row],[Availability]], "High Risk", "Low Risk")</f>
        <v>High Risk</v>
      </c>
      <c r="I160" s="1">
        <v>9</v>
      </c>
      <c r="J160" s="1" t="s">
        <v>43</v>
      </c>
      <c r="K160" s="4">
        <v>2.1764559120000002</v>
      </c>
      <c r="L160" s="1" t="s">
        <v>38</v>
      </c>
      <c r="M160" s="1" t="s">
        <v>33</v>
      </c>
      <c r="N160" s="1">
        <v>3</v>
      </c>
      <c r="O160" s="1">
        <v>388</v>
      </c>
      <c r="P160" s="1">
        <v>21</v>
      </c>
      <c r="Q160" s="4">
        <v>71.251015719999998</v>
      </c>
      <c r="R160" s="1" t="s">
        <v>51</v>
      </c>
      <c r="S160" s="3">
        <v>1.6903151380000001</v>
      </c>
      <c r="T160" s="1" t="s">
        <v>27</v>
      </c>
      <c r="U160" s="1" t="s">
        <v>39</v>
      </c>
      <c r="V160" s="4">
        <v>262.32037150000002</v>
      </c>
      <c r="W160" s="8">
        <f>Table1[[#This Row],[Revenue]]-Table1[[#This Row],[Shipping costs]]-Table1[[#This Row],[Manufacturing costs]]</f>
        <v>188.89289986800003</v>
      </c>
    </row>
    <row r="161" spans="1:23" ht="14.25" customHeight="1" x14ac:dyDescent="0.25">
      <c r="A161" s="1" t="s">
        <v>21</v>
      </c>
      <c r="B161" s="1" t="s">
        <v>207</v>
      </c>
      <c r="C161" s="2">
        <v>28.37</v>
      </c>
      <c r="D161" s="1">
        <v>81</v>
      </c>
      <c r="E161" s="1">
        <v>969</v>
      </c>
      <c r="F161" s="1">
        <v>23</v>
      </c>
      <c r="G161" s="1">
        <v>26</v>
      </c>
      <c r="H161" s="1" t="str">
        <f>IF(Table1[[#This Row],[Order quantities]]&gt;Table1[[#This Row],[Availability]], "High Risk", "Low Risk")</f>
        <v>Low Risk</v>
      </c>
      <c r="I161" s="1">
        <v>5</v>
      </c>
      <c r="J161" s="1" t="s">
        <v>23</v>
      </c>
      <c r="K161" s="4">
        <v>7.0453797329999999</v>
      </c>
      <c r="L161" s="1" t="s">
        <v>44</v>
      </c>
      <c r="M161" s="1" t="s">
        <v>62</v>
      </c>
      <c r="N161" s="1">
        <v>28</v>
      </c>
      <c r="O161" s="1">
        <v>609</v>
      </c>
      <c r="P161" s="1">
        <v>17</v>
      </c>
      <c r="Q161" s="4">
        <v>87.295742509999997</v>
      </c>
      <c r="R161" s="1" t="s">
        <v>26</v>
      </c>
      <c r="S161" s="3">
        <v>3.9302667790000001</v>
      </c>
      <c r="T161" s="1" t="s">
        <v>35</v>
      </c>
      <c r="U161" s="1" t="s">
        <v>28</v>
      </c>
      <c r="V161" s="4">
        <v>857.36415169999998</v>
      </c>
      <c r="W161" s="8">
        <f>Table1[[#This Row],[Revenue]]-Table1[[#This Row],[Shipping costs]]-Table1[[#This Row],[Manufacturing costs]]</f>
        <v>763.02302945700001</v>
      </c>
    </row>
    <row r="162" spans="1:23" ht="14.25" customHeight="1" x14ac:dyDescent="0.25">
      <c r="A162" s="1" t="s">
        <v>21</v>
      </c>
      <c r="B162" s="1" t="s">
        <v>208</v>
      </c>
      <c r="C162" s="2">
        <v>20.260000000000002</v>
      </c>
      <c r="D162" s="1">
        <v>61</v>
      </c>
      <c r="E162" s="1">
        <v>604</v>
      </c>
      <c r="F162" s="1">
        <v>1</v>
      </c>
      <c r="G162" s="1">
        <v>17</v>
      </c>
      <c r="H162" s="1" t="str">
        <f>IF(Table1[[#This Row],[Order quantities]]&gt;Table1[[#This Row],[Availability]], "High Risk", "Low Risk")</f>
        <v>Low Risk</v>
      </c>
      <c r="I162" s="1">
        <v>4</v>
      </c>
      <c r="J162" s="1" t="s">
        <v>31</v>
      </c>
      <c r="K162" s="4">
        <v>7.5637882039999997</v>
      </c>
      <c r="L162" s="1" t="s">
        <v>38</v>
      </c>
      <c r="M162" s="1" t="s">
        <v>49</v>
      </c>
      <c r="N162" s="1">
        <v>21</v>
      </c>
      <c r="O162" s="1">
        <v>651</v>
      </c>
      <c r="P162" s="1">
        <v>22</v>
      </c>
      <c r="Q162" s="4">
        <v>66.598583000000005</v>
      </c>
      <c r="R162" s="1" t="s">
        <v>51</v>
      </c>
      <c r="S162" s="3">
        <v>3.8190792359999999</v>
      </c>
      <c r="T162" s="1" t="s">
        <v>35</v>
      </c>
      <c r="U162" s="1" t="s">
        <v>39</v>
      </c>
      <c r="V162" s="4">
        <v>109.9256036</v>
      </c>
      <c r="W162" s="8">
        <f>Table1[[#This Row],[Revenue]]-Table1[[#This Row],[Shipping costs]]-Table1[[#This Row],[Manufacturing costs]]</f>
        <v>35.763232395999992</v>
      </c>
    </row>
    <row r="163" spans="1:23" ht="14.25" customHeight="1" x14ac:dyDescent="0.25">
      <c r="A163" s="1" t="s">
        <v>21</v>
      </c>
      <c r="B163" s="1" t="s">
        <v>209</v>
      </c>
      <c r="C163" s="2">
        <v>22.72</v>
      </c>
      <c r="D163" s="1">
        <v>16</v>
      </c>
      <c r="E163" s="1">
        <v>777</v>
      </c>
      <c r="F163" s="1">
        <v>17</v>
      </c>
      <c r="G163" s="1">
        <v>71</v>
      </c>
      <c r="H163" s="1" t="str">
        <f>IF(Table1[[#This Row],[Order quantities]]&gt;Table1[[#This Row],[Availability]], "High Risk", "Low Risk")</f>
        <v>High Risk</v>
      </c>
      <c r="I163" s="1">
        <v>7</v>
      </c>
      <c r="J163" s="1" t="s">
        <v>23</v>
      </c>
      <c r="K163" s="4">
        <v>6.1755451609999996</v>
      </c>
      <c r="L163" s="1" t="s">
        <v>38</v>
      </c>
      <c r="M163" s="1" t="s">
        <v>46</v>
      </c>
      <c r="N163" s="1">
        <v>20</v>
      </c>
      <c r="O163" s="1">
        <v>899</v>
      </c>
      <c r="P163" s="1">
        <v>29</v>
      </c>
      <c r="Q163" s="4">
        <v>78.656311209999998</v>
      </c>
      <c r="R163" s="1" t="s">
        <v>51</v>
      </c>
      <c r="S163" s="3">
        <v>2.445359866</v>
      </c>
      <c r="T163" s="1" t="s">
        <v>47</v>
      </c>
      <c r="U163" s="1" t="s">
        <v>28</v>
      </c>
      <c r="V163" s="4">
        <v>380.91544920000001</v>
      </c>
      <c r="W163" s="8">
        <f>Table1[[#This Row],[Revenue]]-Table1[[#This Row],[Shipping costs]]-Table1[[#This Row],[Manufacturing costs]]</f>
        <v>296.083592829</v>
      </c>
    </row>
    <row r="164" spans="1:23" ht="14.25" customHeight="1" x14ac:dyDescent="0.25">
      <c r="A164" s="1" t="s">
        <v>29</v>
      </c>
      <c r="B164" s="1" t="s">
        <v>210</v>
      </c>
      <c r="C164" s="2">
        <v>32.08</v>
      </c>
      <c r="D164" s="1">
        <v>87</v>
      </c>
      <c r="E164" s="1">
        <v>843</v>
      </c>
      <c r="F164" s="1">
        <v>3</v>
      </c>
      <c r="G164" s="1">
        <v>13</v>
      </c>
      <c r="H164" s="1" t="str">
        <f>IF(Table1[[#This Row],[Order quantities]]&gt;Table1[[#This Row],[Availability]], "High Risk", "Low Risk")</f>
        <v>Low Risk</v>
      </c>
      <c r="I164" s="1">
        <v>6</v>
      </c>
      <c r="J164" s="1" t="s">
        <v>43</v>
      </c>
      <c r="K164" s="4">
        <v>2.8613610380000001</v>
      </c>
      <c r="L164" s="1" t="s">
        <v>38</v>
      </c>
      <c r="M164" s="1" t="s">
        <v>33</v>
      </c>
      <c r="N164" s="1">
        <v>5</v>
      </c>
      <c r="O164" s="1">
        <v>808</v>
      </c>
      <c r="P164" s="1">
        <v>25</v>
      </c>
      <c r="Q164" s="4">
        <v>78.874347169999993</v>
      </c>
      <c r="R164" s="1" t="s">
        <v>51</v>
      </c>
      <c r="S164" s="3">
        <v>0.31883995999999998</v>
      </c>
      <c r="T164" s="1" t="s">
        <v>35</v>
      </c>
      <c r="U164" s="1" t="s">
        <v>28</v>
      </c>
      <c r="V164" s="4">
        <v>111.3355344</v>
      </c>
      <c r="W164" s="8">
        <f>Table1[[#This Row],[Revenue]]-Table1[[#This Row],[Shipping costs]]-Table1[[#This Row],[Manufacturing costs]]</f>
        <v>29.599826192000009</v>
      </c>
    </row>
    <row r="165" spans="1:23" ht="14.25" customHeight="1" x14ac:dyDescent="0.25">
      <c r="A165" s="1" t="s">
        <v>29</v>
      </c>
      <c r="B165" s="1" t="s">
        <v>211</v>
      </c>
      <c r="C165" s="2">
        <v>21.47</v>
      </c>
      <c r="D165" s="1">
        <v>2</v>
      </c>
      <c r="E165" s="1">
        <v>861</v>
      </c>
      <c r="F165" s="1">
        <v>26</v>
      </c>
      <c r="G165" s="1">
        <v>69</v>
      </c>
      <c r="H165" s="1" t="str">
        <f>IF(Table1[[#This Row],[Order quantities]]&gt;Table1[[#This Row],[Availability]], "High Risk", "Low Risk")</f>
        <v>High Risk</v>
      </c>
      <c r="I165" s="1">
        <v>4</v>
      </c>
      <c r="J165" s="1" t="s">
        <v>43</v>
      </c>
      <c r="K165" s="4">
        <v>5.5401034750000004</v>
      </c>
      <c r="L165" s="1" t="s">
        <v>32</v>
      </c>
      <c r="M165" s="1" t="s">
        <v>55</v>
      </c>
      <c r="N165" s="1">
        <v>24</v>
      </c>
      <c r="O165" s="1">
        <v>884</v>
      </c>
      <c r="P165" s="1">
        <v>2</v>
      </c>
      <c r="Q165" s="4">
        <v>42.063530389999997</v>
      </c>
      <c r="R165" s="1" t="s">
        <v>51</v>
      </c>
      <c r="S165" s="3">
        <v>1.6168405770000001</v>
      </c>
      <c r="T165" s="1" t="s">
        <v>35</v>
      </c>
      <c r="U165" s="1" t="s">
        <v>53</v>
      </c>
      <c r="V165" s="4">
        <v>186.4062519</v>
      </c>
      <c r="W165" s="8">
        <f>Table1[[#This Row],[Revenue]]-Table1[[#This Row],[Shipping costs]]-Table1[[#This Row],[Manufacturing costs]]</f>
        <v>138.80261803500002</v>
      </c>
    </row>
    <row r="166" spans="1:23" ht="14.25" customHeight="1" x14ac:dyDescent="0.25">
      <c r="A166" s="1" t="s">
        <v>21</v>
      </c>
      <c r="B166" s="1" t="s">
        <v>212</v>
      </c>
      <c r="C166" s="2">
        <v>90.19</v>
      </c>
      <c r="D166" s="1">
        <v>31</v>
      </c>
      <c r="E166" s="1">
        <v>360</v>
      </c>
      <c r="F166" s="1">
        <v>15</v>
      </c>
      <c r="G166" s="1">
        <v>26</v>
      </c>
      <c r="H166" s="1" t="str">
        <f>IF(Table1[[#This Row],[Order quantities]]&gt;Table1[[#This Row],[Availability]], "High Risk", "Low Risk")</f>
        <v>Low Risk</v>
      </c>
      <c r="I166" s="1">
        <v>2</v>
      </c>
      <c r="J166" s="1" t="s">
        <v>23</v>
      </c>
      <c r="K166" s="4">
        <v>3.809707629</v>
      </c>
      <c r="L166" s="1" t="s">
        <v>38</v>
      </c>
      <c r="M166" s="1" t="s">
        <v>25</v>
      </c>
      <c r="N166" s="1">
        <v>8</v>
      </c>
      <c r="O166" s="1">
        <v>993</v>
      </c>
      <c r="P166" s="1">
        <v>23</v>
      </c>
      <c r="Q166" s="4">
        <v>34.667487610000002</v>
      </c>
      <c r="R166" s="1" t="s">
        <v>51</v>
      </c>
      <c r="S166" s="3">
        <v>1.5322849279999999</v>
      </c>
      <c r="T166" s="1" t="s">
        <v>47</v>
      </c>
      <c r="U166" s="1" t="s">
        <v>53</v>
      </c>
      <c r="V166" s="4">
        <v>367.38659730000001</v>
      </c>
      <c r="W166" s="8">
        <f>Table1[[#This Row],[Revenue]]-Table1[[#This Row],[Shipping costs]]-Table1[[#This Row],[Manufacturing costs]]</f>
        <v>328.90940206099998</v>
      </c>
    </row>
    <row r="167" spans="1:23" ht="14.25" customHeight="1" x14ac:dyDescent="0.25">
      <c r="A167" s="1" t="s">
        <v>29</v>
      </c>
      <c r="B167" s="1" t="s">
        <v>213</v>
      </c>
      <c r="C167" s="2">
        <v>12.62</v>
      </c>
      <c r="D167" s="1">
        <v>98</v>
      </c>
      <c r="E167" s="1">
        <v>256</v>
      </c>
      <c r="F167" s="1">
        <v>4</v>
      </c>
      <c r="G167" s="1">
        <v>49</v>
      </c>
      <c r="H167" s="1" t="str">
        <f>IF(Table1[[#This Row],[Order quantities]]&gt;Table1[[#This Row],[Availability]], "High Risk", "Low Risk")</f>
        <v>Low Risk</v>
      </c>
      <c r="I167" s="1">
        <v>1</v>
      </c>
      <c r="J167" s="1" t="s">
        <v>43</v>
      </c>
      <c r="K167" s="4">
        <v>4.8471987539999999</v>
      </c>
      <c r="L167" s="1" t="s">
        <v>38</v>
      </c>
      <c r="M167" s="1" t="s">
        <v>46</v>
      </c>
      <c r="N167" s="1">
        <v>22</v>
      </c>
      <c r="O167" s="1">
        <v>875</v>
      </c>
      <c r="P167" s="1">
        <v>22</v>
      </c>
      <c r="Q167" s="4">
        <v>82.104766049999995</v>
      </c>
      <c r="R167" s="1" t="s">
        <v>51</v>
      </c>
      <c r="S167" s="3">
        <v>4.0743275060000004</v>
      </c>
      <c r="T167" s="1" t="s">
        <v>27</v>
      </c>
      <c r="U167" s="1" t="s">
        <v>39</v>
      </c>
      <c r="V167" s="4">
        <v>148.8440669</v>
      </c>
      <c r="W167" s="8">
        <f>Table1[[#This Row],[Revenue]]-Table1[[#This Row],[Shipping costs]]-Table1[[#This Row],[Manufacturing costs]]</f>
        <v>61.892102096000002</v>
      </c>
    </row>
    <row r="168" spans="1:23" ht="14.25" customHeight="1" x14ac:dyDescent="0.25">
      <c r="A168" s="1" t="s">
        <v>21</v>
      </c>
      <c r="B168" s="1" t="s">
        <v>214</v>
      </c>
      <c r="C168" s="2">
        <v>54.83</v>
      </c>
      <c r="D168" s="1">
        <v>12</v>
      </c>
      <c r="E168" s="1">
        <v>132</v>
      </c>
      <c r="F168" s="1">
        <v>4</v>
      </c>
      <c r="G168" s="1">
        <v>67</v>
      </c>
      <c r="H168" s="1" t="str">
        <f>IF(Table1[[#This Row],[Order quantities]]&gt;Table1[[#This Row],[Availability]], "High Risk", "Low Risk")</f>
        <v>High Risk</v>
      </c>
      <c r="I168" s="1">
        <v>4</v>
      </c>
      <c r="J168" s="1" t="s">
        <v>43</v>
      </c>
      <c r="K168" s="4">
        <v>6.8069671830000003</v>
      </c>
      <c r="L168" s="1" t="s">
        <v>44</v>
      </c>
      <c r="M168" s="1" t="s">
        <v>33</v>
      </c>
      <c r="N168" s="1">
        <v>1</v>
      </c>
      <c r="O168" s="1">
        <v>668</v>
      </c>
      <c r="P168" s="1">
        <v>5</v>
      </c>
      <c r="Q168" s="4">
        <v>43.946091260000003</v>
      </c>
      <c r="R168" s="1" t="s">
        <v>26</v>
      </c>
      <c r="S168" s="3">
        <v>0.52912031000000004</v>
      </c>
      <c r="T168" s="1" t="s">
        <v>27</v>
      </c>
      <c r="U168" s="1" t="s">
        <v>39</v>
      </c>
      <c r="V168" s="4">
        <v>636.96747909999999</v>
      </c>
      <c r="W168" s="8">
        <f>Table1[[#This Row],[Revenue]]-Table1[[#This Row],[Shipping costs]]-Table1[[#This Row],[Manufacturing costs]]</f>
        <v>586.21442065700001</v>
      </c>
    </row>
    <row r="169" spans="1:23" ht="14.25" customHeight="1" x14ac:dyDescent="0.25">
      <c r="A169" s="1" t="s">
        <v>29</v>
      </c>
      <c r="B169" s="1" t="s">
        <v>215</v>
      </c>
      <c r="C169" s="2">
        <v>43.99</v>
      </c>
      <c r="D169" s="1">
        <v>88</v>
      </c>
      <c r="E169" s="1">
        <v>275</v>
      </c>
      <c r="F169" s="1">
        <v>18</v>
      </c>
      <c r="G169" s="1">
        <v>7</v>
      </c>
      <c r="H169" s="1" t="str">
        <f>IF(Table1[[#This Row],[Order quantities]]&gt;Table1[[#This Row],[Availability]], "High Risk", "Low Risk")</f>
        <v>Low Risk</v>
      </c>
      <c r="I169" s="1">
        <v>4</v>
      </c>
      <c r="J169" s="1" t="s">
        <v>31</v>
      </c>
      <c r="K169" s="4">
        <v>7.7069326839999999</v>
      </c>
      <c r="L169" s="1" t="s">
        <v>32</v>
      </c>
      <c r="M169" s="1" t="s">
        <v>46</v>
      </c>
      <c r="N169" s="1">
        <v>8</v>
      </c>
      <c r="O169" s="1">
        <v>397</v>
      </c>
      <c r="P169" s="1">
        <v>4</v>
      </c>
      <c r="Q169" s="4">
        <v>91.300240590000001</v>
      </c>
      <c r="R169" s="1" t="s">
        <v>26</v>
      </c>
      <c r="S169" s="3">
        <v>4.0478093570000002</v>
      </c>
      <c r="T169" s="1" t="s">
        <v>47</v>
      </c>
      <c r="U169" s="1" t="s">
        <v>28</v>
      </c>
      <c r="V169" s="4">
        <v>178.17661720000001</v>
      </c>
      <c r="W169" s="8">
        <f>Table1[[#This Row],[Revenue]]-Table1[[#This Row],[Shipping costs]]-Table1[[#This Row],[Manufacturing costs]]</f>
        <v>79.169443926</v>
      </c>
    </row>
    <row r="170" spans="1:23" ht="14.25" customHeight="1" x14ac:dyDescent="0.25">
      <c r="A170" s="1" t="s">
        <v>21</v>
      </c>
      <c r="B170" s="1" t="s">
        <v>216</v>
      </c>
      <c r="C170" s="2">
        <v>98.33</v>
      </c>
      <c r="D170" s="1">
        <v>72</v>
      </c>
      <c r="E170" s="1">
        <v>775</v>
      </c>
      <c r="F170" s="1">
        <v>17</v>
      </c>
      <c r="G170" s="1">
        <v>58</v>
      </c>
      <c r="H170" s="1" t="str">
        <f>IF(Table1[[#This Row],[Order quantities]]&gt;Table1[[#This Row],[Availability]], "High Risk", "Low Risk")</f>
        <v>Low Risk</v>
      </c>
      <c r="I170" s="1">
        <v>1</v>
      </c>
      <c r="J170" s="1" t="s">
        <v>31</v>
      </c>
      <c r="K170" s="4">
        <v>3.0900222180000001</v>
      </c>
      <c r="L170" s="1" t="s">
        <v>41</v>
      </c>
      <c r="M170" s="1" t="s">
        <v>49</v>
      </c>
      <c r="N170" s="1">
        <v>24</v>
      </c>
      <c r="O170" s="1">
        <v>709</v>
      </c>
      <c r="P170" s="1">
        <v>4</v>
      </c>
      <c r="Q170" s="4">
        <v>16.27216271</v>
      </c>
      <c r="R170" s="1" t="s">
        <v>51</v>
      </c>
      <c r="S170" s="3">
        <v>3.3789998959999998</v>
      </c>
      <c r="T170" s="1" t="s">
        <v>47</v>
      </c>
      <c r="U170" s="1" t="s">
        <v>39</v>
      </c>
      <c r="V170" s="4">
        <v>731.54227070000002</v>
      </c>
      <c r="W170" s="8">
        <f>Table1[[#This Row],[Revenue]]-Table1[[#This Row],[Shipping costs]]-Table1[[#This Row],[Manufacturing costs]]</f>
        <v>712.1800857720001</v>
      </c>
    </row>
    <row r="171" spans="1:23" ht="14.25" customHeight="1" x14ac:dyDescent="0.25">
      <c r="A171" s="1" t="s">
        <v>29</v>
      </c>
      <c r="B171" s="1" t="s">
        <v>217</v>
      </c>
      <c r="C171" s="2">
        <v>15.64</v>
      </c>
      <c r="D171" s="1">
        <v>67</v>
      </c>
      <c r="E171" s="1">
        <v>682</v>
      </c>
      <c r="F171" s="1">
        <v>19</v>
      </c>
      <c r="G171" s="1">
        <v>49</v>
      </c>
      <c r="H171" s="1" t="str">
        <f>IF(Table1[[#This Row],[Order quantities]]&gt;Table1[[#This Row],[Availability]], "High Risk", "Low Risk")</f>
        <v>Low Risk</v>
      </c>
      <c r="I171" s="1">
        <v>6</v>
      </c>
      <c r="J171" s="1" t="s">
        <v>31</v>
      </c>
      <c r="K171" s="4">
        <v>4.6479282460000002</v>
      </c>
      <c r="L171" s="1" t="s">
        <v>44</v>
      </c>
      <c r="M171" s="1" t="s">
        <v>49</v>
      </c>
      <c r="N171" s="1">
        <v>18</v>
      </c>
      <c r="O171" s="1">
        <v>236</v>
      </c>
      <c r="P171" s="1">
        <v>6</v>
      </c>
      <c r="Q171" s="4">
        <v>15.23957609</v>
      </c>
      <c r="R171" s="1" t="s">
        <v>51</v>
      </c>
      <c r="S171" s="3">
        <v>3.6889631500000002</v>
      </c>
      <c r="T171" s="1" t="s">
        <v>35</v>
      </c>
      <c r="U171" s="1" t="s">
        <v>39</v>
      </c>
      <c r="V171" s="4">
        <v>147.37790140000001</v>
      </c>
      <c r="W171" s="8">
        <f>Table1[[#This Row],[Revenue]]-Table1[[#This Row],[Shipping costs]]-Table1[[#This Row],[Manufacturing costs]]</f>
        <v>127.49039706400002</v>
      </c>
    </row>
    <row r="172" spans="1:23" ht="14.25" customHeight="1" x14ac:dyDescent="0.25">
      <c r="A172" s="1" t="s">
        <v>21</v>
      </c>
      <c r="B172" s="1" t="s">
        <v>218</v>
      </c>
      <c r="C172" s="2">
        <v>42.8</v>
      </c>
      <c r="D172" s="1">
        <v>13</v>
      </c>
      <c r="E172" s="1">
        <v>971</v>
      </c>
      <c r="F172" s="1">
        <v>11</v>
      </c>
      <c r="G172" s="1">
        <v>53</v>
      </c>
      <c r="H172" s="1" t="str">
        <f>IF(Table1[[#This Row],[Order quantities]]&gt;Table1[[#This Row],[Availability]], "High Risk", "Low Risk")</f>
        <v>High Risk</v>
      </c>
      <c r="I172" s="1">
        <v>4</v>
      </c>
      <c r="J172" s="1" t="s">
        <v>31</v>
      </c>
      <c r="K172" s="4">
        <v>3.4224541390000001</v>
      </c>
      <c r="L172" s="1" t="s">
        <v>38</v>
      </c>
      <c r="M172" s="1" t="s">
        <v>49</v>
      </c>
      <c r="N172" s="1">
        <v>20</v>
      </c>
      <c r="O172" s="1">
        <v>475</v>
      </c>
      <c r="P172" s="1">
        <v>20</v>
      </c>
      <c r="Q172" s="4">
        <v>93.430374409999999</v>
      </c>
      <c r="R172" s="1" t="s">
        <v>51</v>
      </c>
      <c r="S172" s="3">
        <v>2.2178446190000001</v>
      </c>
      <c r="T172" s="1" t="s">
        <v>35</v>
      </c>
      <c r="U172" s="1" t="s">
        <v>53</v>
      </c>
      <c r="V172" s="4">
        <v>153.37800530000001</v>
      </c>
      <c r="W172" s="8">
        <f>Table1[[#This Row],[Revenue]]-Table1[[#This Row],[Shipping costs]]-Table1[[#This Row],[Manufacturing costs]]</f>
        <v>56.525176751000018</v>
      </c>
    </row>
    <row r="173" spans="1:23" ht="14.25" customHeight="1" x14ac:dyDescent="0.25">
      <c r="A173" s="1" t="s">
        <v>29</v>
      </c>
      <c r="B173" s="1" t="s">
        <v>219</v>
      </c>
      <c r="C173" s="2">
        <v>97.1</v>
      </c>
      <c r="D173" s="1">
        <v>97</v>
      </c>
      <c r="E173" s="1">
        <v>512</v>
      </c>
      <c r="F173" s="1">
        <v>20</v>
      </c>
      <c r="G173" s="1">
        <v>65</v>
      </c>
      <c r="H173" s="1" t="str">
        <f>IF(Table1[[#This Row],[Order quantities]]&gt;Table1[[#This Row],[Availability]], "High Risk", "Low Risk")</f>
        <v>Low Risk</v>
      </c>
      <c r="I173" s="1">
        <v>1</v>
      </c>
      <c r="J173" s="1" t="s">
        <v>43</v>
      </c>
      <c r="K173" s="4">
        <v>2.787684525</v>
      </c>
      <c r="L173" s="1" t="s">
        <v>44</v>
      </c>
      <c r="M173" s="1" t="s">
        <v>46</v>
      </c>
      <c r="N173" s="1">
        <v>28</v>
      </c>
      <c r="O173" s="1">
        <v>186</v>
      </c>
      <c r="P173" s="1">
        <v>21</v>
      </c>
      <c r="Q173" s="4">
        <v>68.360942280000003</v>
      </c>
      <c r="R173" s="1" t="s">
        <v>26</v>
      </c>
      <c r="S173" s="3">
        <v>3.4306564000000002</v>
      </c>
      <c r="T173" s="1" t="s">
        <v>35</v>
      </c>
      <c r="U173" s="1" t="s">
        <v>39</v>
      </c>
      <c r="V173" s="4">
        <v>374.79330909999999</v>
      </c>
      <c r="W173" s="8">
        <f>Table1[[#This Row],[Revenue]]-Table1[[#This Row],[Shipping costs]]-Table1[[#This Row],[Manufacturing costs]]</f>
        <v>303.644682295</v>
      </c>
    </row>
    <row r="174" spans="1:23" ht="14.25" customHeight="1" x14ac:dyDescent="0.25">
      <c r="A174" s="1" t="s">
        <v>21</v>
      </c>
      <c r="B174" s="1" t="s">
        <v>220</v>
      </c>
      <c r="C174" s="2">
        <v>87.22</v>
      </c>
      <c r="D174" s="1">
        <v>10</v>
      </c>
      <c r="E174" s="1">
        <v>312</v>
      </c>
      <c r="F174" s="1">
        <v>3</v>
      </c>
      <c r="G174" s="1">
        <v>62</v>
      </c>
      <c r="H174" s="1" t="str">
        <f>IF(Table1[[#This Row],[Order quantities]]&gt;Table1[[#This Row],[Availability]], "High Risk", "Low Risk")</f>
        <v>High Risk</v>
      </c>
      <c r="I174" s="1">
        <v>1</v>
      </c>
      <c r="J174" s="1" t="s">
        <v>43</v>
      </c>
      <c r="K174" s="4">
        <v>8.0504849800000002</v>
      </c>
      <c r="L174" s="1" t="s">
        <v>44</v>
      </c>
      <c r="M174" s="1" t="s">
        <v>46</v>
      </c>
      <c r="N174" s="1">
        <v>16</v>
      </c>
      <c r="O174" s="1">
        <v>518</v>
      </c>
      <c r="P174" s="1">
        <v>13</v>
      </c>
      <c r="Q174" s="4">
        <v>44.163942079999998</v>
      </c>
      <c r="R174" s="1" t="s">
        <v>34</v>
      </c>
      <c r="S174" s="3">
        <v>3.0842418290000002</v>
      </c>
      <c r="T174" s="1" t="s">
        <v>35</v>
      </c>
      <c r="U174" s="1" t="s">
        <v>53</v>
      </c>
      <c r="V174" s="4">
        <v>906.91437250000001</v>
      </c>
      <c r="W174" s="8">
        <f>Table1[[#This Row],[Revenue]]-Table1[[#This Row],[Shipping costs]]-Table1[[#This Row],[Manufacturing costs]]</f>
        <v>854.69994544000008</v>
      </c>
    </row>
    <row r="175" spans="1:23" ht="14.25" customHeight="1" x14ac:dyDescent="0.25">
      <c r="A175" s="1" t="s">
        <v>21</v>
      </c>
      <c r="B175" s="1" t="s">
        <v>221</v>
      </c>
      <c r="C175" s="2">
        <v>82.62</v>
      </c>
      <c r="D175" s="1">
        <v>55</v>
      </c>
      <c r="E175" s="1">
        <v>575</v>
      </c>
      <c r="F175" s="1">
        <v>8</v>
      </c>
      <c r="G175" s="1">
        <v>17</v>
      </c>
      <c r="H175" s="1" t="str">
        <f>IF(Table1[[#This Row],[Order quantities]]&gt;Table1[[#This Row],[Availability]], "High Risk", "Low Risk")</f>
        <v>Low Risk</v>
      </c>
      <c r="I175" s="1">
        <v>1</v>
      </c>
      <c r="J175" s="1" t="s">
        <v>43</v>
      </c>
      <c r="K175" s="4">
        <v>9.1832742500000002</v>
      </c>
      <c r="L175" s="1" t="s">
        <v>44</v>
      </c>
      <c r="M175" s="1" t="s">
        <v>55</v>
      </c>
      <c r="N175" s="1">
        <v>18</v>
      </c>
      <c r="O175" s="1">
        <v>853</v>
      </c>
      <c r="P175" s="1">
        <v>22</v>
      </c>
      <c r="Q175" s="4">
        <v>77.955437329999995</v>
      </c>
      <c r="R175" s="1" t="s">
        <v>34</v>
      </c>
      <c r="S175" s="3">
        <v>3.8680029569999999</v>
      </c>
      <c r="T175" s="1" t="s">
        <v>35</v>
      </c>
      <c r="U175" s="1" t="s">
        <v>39</v>
      </c>
      <c r="V175" s="4">
        <v>677.25392390000002</v>
      </c>
      <c r="W175" s="8">
        <f>Table1[[#This Row],[Revenue]]-Table1[[#This Row],[Shipping costs]]-Table1[[#This Row],[Manufacturing costs]]</f>
        <v>590.11521232000007</v>
      </c>
    </row>
    <row r="176" spans="1:23" ht="14.25" customHeight="1" x14ac:dyDescent="0.25">
      <c r="A176" s="1" t="s">
        <v>21</v>
      </c>
      <c r="B176" s="1" t="s">
        <v>222</v>
      </c>
      <c r="C176" s="2">
        <v>29.5</v>
      </c>
      <c r="D176" s="1">
        <v>66</v>
      </c>
      <c r="E176" s="1">
        <v>885</v>
      </c>
      <c r="F176" s="1">
        <v>14</v>
      </c>
      <c r="G176" s="1">
        <v>43</v>
      </c>
      <c r="H176" s="1" t="str">
        <f>IF(Table1[[#This Row],[Order quantities]]&gt;Table1[[#This Row],[Availability]], "High Risk", "Low Risk")</f>
        <v>Low Risk</v>
      </c>
      <c r="I176" s="1">
        <v>8</v>
      </c>
      <c r="J176" s="1" t="s">
        <v>31</v>
      </c>
      <c r="K176" s="4">
        <v>4.3320896710000003</v>
      </c>
      <c r="L176" s="1" t="s">
        <v>41</v>
      </c>
      <c r="M176" s="1" t="s">
        <v>49</v>
      </c>
      <c r="N176" s="1">
        <v>20</v>
      </c>
      <c r="O176" s="1">
        <v>298</v>
      </c>
      <c r="P176" s="1">
        <v>5</v>
      </c>
      <c r="Q176" s="4">
        <v>70.509412900000001</v>
      </c>
      <c r="R176" s="1" t="s">
        <v>26</v>
      </c>
      <c r="S176" s="3">
        <v>2.2891721889999999</v>
      </c>
      <c r="T176" s="1" t="s">
        <v>27</v>
      </c>
      <c r="U176" s="1" t="s">
        <v>37</v>
      </c>
      <c r="V176" s="4">
        <v>793.11816269999997</v>
      </c>
      <c r="W176" s="8">
        <f>Table1[[#This Row],[Revenue]]-Table1[[#This Row],[Shipping costs]]-Table1[[#This Row],[Manufacturing costs]]</f>
        <v>718.27666012899999</v>
      </c>
    </row>
    <row r="177" spans="1:23" ht="14.25" customHeight="1" x14ac:dyDescent="0.25">
      <c r="A177" s="1" t="s">
        <v>29</v>
      </c>
      <c r="B177" s="1" t="s">
        <v>223</v>
      </c>
      <c r="C177" s="2">
        <v>21.23</v>
      </c>
      <c r="D177" s="1">
        <v>91</v>
      </c>
      <c r="E177" s="1">
        <v>979</v>
      </c>
      <c r="F177" s="1">
        <v>26</v>
      </c>
      <c r="G177" s="1">
        <v>25</v>
      </c>
      <c r="H177" s="1" t="str">
        <f>IF(Table1[[#This Row],[Order quantities]]&gt;Table1[[#This Row],[Availability]], "High Risk", "Low Risk")</f>
        <v>Low Risk</v>
      </c>
      <c r="I177" s="1">
        <v>8</v>
      </c>
      <c r="J177" s="1" t="s">
        <v>31</v>
      </c>
      <c r="K177" s="4">
        <v>7.7615103190000001</v>
      </c>
      <c r="L177" s="1" t="s">
        <v>41</v>
      </c>
      <c r="M177" s="1" t="s">
        <v>55</v>
      </c>
      <c r="N177" s="1">
        <v>12</v>
      </c>
      <c r="O177" s="1">
        <v>562</v>
      </c>
      <c r="P177" s="1">
        <v>23</v>
      </c>
      <c r="Q177" s="4">
        <v>57.80809421</v>
      </c>
      <c r="R177" s="1" t="s">
        <v>26</v>
      </c>
      <c r="S177" s="3">
        <v>2.4168455619999998</v>
      </c>
      <c r="T177" s="1" t="s">
        <v>27</v>
      </c>
      <c r="U177" s="1" t="s">
        <v>28</v>
      </c>
      <c r="V177" s="4">
        <v>227.39689849999999</v>
      </c>
      <c r="W177" s="8">
        <f>Table1[[#This Row],[Revenue]]-Table1[[#This Row],[Shipping costs]]-Table1[[#This Row],[Manufacturing costs]]</f>
        <v>161.82729397099999</v>
      </c>
    </row>
    <row r="178" spans="1:23" ht="14.25" customHeight="1" x14ac:dyDescent="0.25">
      <c r="A178" s="1" t="s">
        <v>29</v>
      </c>
      <c r="B178" s="1" t="s">
        <v>224</v>
      </c>
      <c r="C178" s="2">
        <v>68.52</v>
      </c>
      <c r="D178" s="1">
        <v>28</v>
      </c>
      <c r="E178" s="1">
        <v>283</v>
      </c>
      <c r="F178" s="1">
        <v>1</v>
      </c>
      <c r="G178" s="1">
        <v>3</v>
      </c>
      <c r="H178" s="1" t="str">
        <f>IF(Table1[[#This Row],[Order quantities]]&gt;Table1[[#This Row],[Availability]], "High Risk", "Low Risk")</f>
        <v>Low Risk</v>
      </c>
      <c r="I178" s="1">
        <v>2</v>
      </c>
      <c r="J178" s="1" t="s">
        <v>23</v>
      </c>
      <c r="K178" s="4">
        <v>9.0729576040000008</v>
      </c>
      <c r="L178" s="1" t="s">
        <v>38</v>
      </c>
      <c r="M178" s="1" t="s">
        <v>49</v>
      </c>
      <c r="N178" s="1">
        <v>13</v>
      </c>
      <c r="O178" s="1">
        <v>536</v>
      </c>
      <c r="P178" s="1">
        <v>25</v>
      </c>
      <c r="Q178" s="4">
        <v>18.89860084</v>
      </c>
      <c r="R178" s="1" t="s">
        <v>26</v>
      </c>
      <c r="S178" s="3">
        <v>3.2535234910000002</v>
      </c>
      <c r="T178" s="1" t="s">
        <v>35</v>
      </c>
      <c r="U178" s="1" t="s">
        <v>53</v>
      </c>
      <c r="V178" s="4">
        <v>850.71288990000005</v>
      </c>
      <c r="W178" s="8">
        <f>Table1[[#This Row],[Revenue]]-Table1[[#This Row],[Shipping costs]]-Table1[[#This Row],[Manufacturing costs]]</f>
        <v>822.74133145600013</v>
      </c>
    </row>
    <row r="179" spans="1:23" ht="14.25" customHeight="1" x14ac:dyDescent="0.25">
      <c r="A179" s="1" t="s">
        <v>21</v>
      </c>
      <c r="B179" s="1" t="s">
        <v>225</v>
      </c>
      <c r="C179" s="2">
        <v>93.29</v>
      </c>
      <c r="D179" s="1">
        <v>8</v>
      </c>
      <c r="E179" s="1">
        <v>120</v>
      </c>
      <c r="F179" s="1">
        <v>14</v>
      </c>
      <c r="G179" s="1">
        <v>79</v>
      </c>
      <c r="H179" s="1" t="str">
        <f>IF(Table1[[#This Row],[Order quantities]]&gt;Table1[[#This Row],[Availability]], "High Risk", "Low Risk")</f>
        <v>High Risk</v>
      </c>
      <c r="I179" s="1">
        <v>7</v>
      </c>
      <c r="J179" s="1" t="s">
        <v>23</v>
      </c>
      <c r="K179" s="4">
        <v>8.6151178949999991</v>
      </c>
      <c r="L179" s="1" t="s">
        <v>41</v>
      </c>
      <c r="M179" s="1" t="s">
        <v>62</v>
      </c>
      <c r="N179" s="1">
        <v>13</v>
      </c>
      <c r="O179" s="1">
        <v>409</v>
      </c>
      <c r="P179" s="1">
        <v>26</v>
      </c>
      <c r="Q179" s="4">
        <v>83.096162860000007</v>
      </c>
      <c r="R179" s="1" t="s">
        <v>51</v>
      </c>
      <c r="S179" s="3">
        <v>0.62957971899999998</v>
      </c>
      <c r="T179" s="1" t="s">
        <v>47</v>
      </c>
      <c r="U179" s="1" t="s">
        <v>39</v>
      </c>
      <c r="V179" s="4">
        <v>107.3316234</v>
      </c>
      <c r="W179" s="8">
        <f>Table1[[#This Row],[Revenue]]-Table1[[#This Row],[Shipping costs]]-Table1[[#This Row],[Manufacturing costs]]</f>
        <v>15.620342644999994</v>
      </c>
    </row>
    <row r="180" spans="1:23" ht="14.25" customHeight="1" x14ac:dyDescent="0.25">
      <c r="A180" s="1" t="s">
        <v>29</v>
      </c>
      <c r="B180" s="1" t="s">
        <v>226</v>
      </c>
      <c r="C180" s="2">
        <v>57.89</v>
      </c>
      <c r="D180" s="1">
        <v>66</v>
      </c>
      <c r="E180" s="1">
        <v>106</v>
      </c>
      <c r="F180" s="1">
        <v>2</v>
      </c>
      <c r="G180" s="1">
        <v>29</v>
      </c>
      <c r="H180" s="1" t="str">
        <f>IF(Table1[[#This Row],[Order quantities]]&gt;Table1[[#This Row],[Availability]], "High Risk", "Low Risk")</f>
        <v>Low Risk</v>
      </c>
      <c r="I180" s="1">
        <v>8</v>
      </c>
      <c r="J180" s="1" t="s">
        <v>31</v>
      </c>
      <c r="K180" s="4">
        <v>2.6453204970000002</v>
      </c>
      <c r="L180" s="1" t="s">
        <v>38</v>
      </c>
      <c r="M180" s="1" t="s">
        <v>62</v>
      </c>
      <c r="N180" s="1">
        <v>10</v>
      </c>
      <c r="O180" s="1">
        <v>695</v>
      </c>
      <c r="P180" s="1">
        <v>23</v>
      </c>
      <c r="Q180" s="4">
        <v>87.94208716</v>
      </c>
      <c r="R180" s="1" t="s">
        <v>51</v>
      </c>
      <c r="S180" s="3">
        <v>2.2375977969999998</v>
      </c>
      <c r="T180" s="1" t="s">
        <v>47</v>
      </c>
      <c r="U180" s="1" t="s">
        <v>53</v>
      </c>
      <c r="V180" s="4">
        <v>291.7516157</v>
      </c>
      <c r="W180" s="8">
        <f>Table1[[#This Row],[Revenue]]-Table1[[#This Row],[Shipping costs]]-Table1[[#This Row],[Manufacturing costs]]</f>
        <v>201.164208043</v>
      </c>
    </row>
    <row r="181" spans="1:23" ht="14.25" customHeight="1" x14ac:dyDescent="0.25">
      <c r="A181" s="1" t="s">
        <v>29</v>
      </c>
      <c r="B181" s="1" t="s">
        <v>227</v>
      </c>
      <c r="C181" s="2">
        <v>59.3</v>
      </c>
      <c r="D181" s="1">
        <v>24</v>
      </c>
      <c r="E181" s="1">
        <v>932</v>
      </c>
      <c r="F181" s="1">
        <v>29</v>
      </c>
      <c r="G181" s="1">
        <v>32</v>
      </c>
      <c r="H181" s="1" t="str">
        <f>IF(Table1[[#This Row],[Order quantities]]&gt;Table1[[#This Row],[Availability]], "High Risk", "Low Risk")</f>
        <v>High Risk</v>
      </c>
      <c r="I181" s="1">
        <v>8</v>
      </c>
      <c r="J181" s="1" t="s">
        <v>23</v>
      </c>
      <c r="K181" s="4">
        <v>9.6066269339999995</v>
      </c>
      <c r="L181" s="1" t="s">
        <v>24</v>
      </c>
      <c r="M181" s="1" t="s">
        <v>33</v>
      </c>
      <c r="N181" s="1">
        <v>7</v>
      </c>
      <c r="O181" s="1">
        <v>853</v>
      </c>
      <c r="P181" s="1">
        <v>7</v>
      </c>
      <c r="Q181" s="4">
        <v>25.495181970000001</v>
      </c>
      <c r="R181" s="1" t="s">
        <v>26</v>
      </c>
      <c r="S181" s="3">
        <v>4.8625591420000003</v>
      </c>
      <c r="T181" s="1" t="s">
        <v>47</v>
      </c>
      <c r="U181" s="1" t="s">
        <v>53</v>
      </c>
      <c r="V181" s="4">
        <v>654.48308899999995</v>
      </c>
      <c r="W181" s="8">
        <f>Table1[[#This Row],[Revenue]]-Table1[[#This Row],[Shipping costs]]-Table1[[#This Row],[Manufacturing costs]]</f>
        <v>619.38128009599995</v>
      </c>
    </row>
    <row r="182" spans="1:23" ht="14.25" customHeight="1" x14ac:dyDescent="0.25">
      <c r="A182" s="1" t="s">
        <v>29</v>
      </c>
      <c r="B182" s="1" t="s">
        <v>228</v>
      </c>
      <c r="C182" s="2">
        <v>31.6</v>
      </c>
      <c r="D182" s="1">
        <v>97</v>
      </c>
      <c r="E182" s="1">
        <v>686</v>
      </c>
      <c r="F182" s="1">
        <v>23</v>
      </c>
      <c r="G182" s="1">
        <v>26</v>
      </c>
      <c r="H182" s="1" t="str">
        <f>IF(Table1[[#This Row],[Order quantities]]&gt;Table1[[#This Row],[Availability]], "High Risk", "Low Risk")</f>
        <v>Low Risk</v>
      </c>
      <c r="I182" s="1">
        <v>7</v>
      </c>
      <c r="J182" s="1" t="s">
        <v>43</v>
      </c>
      <c r="K182" s="4">
        <v>4.3900879640000001</v>
      </c>
      <c r="L182" s="1" t="s">
        <v>32</v>
      </c>
      <c r="M182" s="1" t="s">
        <v>33</v>
      </c>
      <c r="N182" s="1">
        <v>25</v>
      </c>
      <c r="O182" s="1">
        <v>380</v>
      </c>
      <c r="P182" s="1">
        <v>20</v>
      </c>
      <c r="Q182" s="4">
        <v>86.546048679999998</v>
      </c>
      <c r="R182" s="1" t="s">
        <v>34</v>
      </c>
      <c r="S182" s="3">
        <v>0.28400636800000001</v>
      </c>
      <c r="T182" s="1" t="s">
        <v>35</v>
      </c>
      <c r="U182" s="1" t="s">
        <v>53</v>
      </c>
      <c r="V182" s="4">
        <v>437.72176769999999</v>
      </c>
      <c r="W182" s="8">
        <f>Table1[[#This Row],[Revenue]]-Table1[[#This Row],[Shipping costs]]-Table1[[#This Row],[Manufacturing costs]]</f>
        <v>346.785631056</v>
      </c>
    </row>
    <row r="183" spans="1:23" ht="14.25" customHeight="1" x14ac:dyDescent="0.25">
      <c r="A183" s="1" t="s">
        <v>29</v>
      </c>
      <c r="B183" s="1" t="s">
        <v>229</v>
      </c>
      <c r="C183" s="2">
        <v>78.099999999999994</v>
      </c>
      <c r="D183" s="1">
        <v>75</v>
      </c>
      <c r="E183" s="1">
        <v>996</v>
      </c>
      <c r="F183" s="1">
        <v>4</v>
      </c>
      <c r="G183" s="1">
        <v>16</v>
      </c>
      <c r="H183" s="1" t="str">
        <f>IF(Table1[[#This Row],[Order quantities]]&gt;Table1[[#This Row],[Availability]], "High Risk", "Low Risk")</f>
        <v>Low Risk</v>
      </c>
      <c r="I183" s="1">
        <v>5</v>
      </c>
      <c r="J183" s="1" t="s">
        <v>43</v>
      </c>
      <c r="K183" s="4">
        <v>4.0531659510000004</v>
      </c>
      <c r="L183" s="1" t="s">
        <v>37</v>
      </c>
      <c r="M183" s="1" t="s">
        <v>55</v>
      </c>
      <c r="N183" s="1">
        <v>14</v>
      </c>
      <c r="O183" s="1">
        <v>422</v>
      </c>
      <c r="P183" s="1">
        <v>1</v>
      </c>
      <c r="Q183" s="4">
        <v>89.006257989999995</v>
      </c>
      <c r="R183" s="1" t="s">
        <v>26</v>
      </c>
      <c r="S183" s="3">
        <v>1.648423142</v>
      </c>
      <c r="T183" s="1" t="s">
        <v>47</v>
      </c>
      <c r="U183" s="1" t="s">
        <v>28</v>
      </c>
      <c r="V183" s="4">
        <v>985.77405250000004</v>
      </c>
      <c r="W183" s="8">
        <f>Table1[[#This Row],[Revenue]]-Table1[[#This Row],[Shipping costs]]-Table1[[#This Row],[Manufacturing costs]]</f>
        <v>892.71462855900006</v>
      </c>
    </row>
    <row r="184" spans="1:23" ht="14.25" customHeight="1" x14ac:dyDescent="0.25">
      <c r="A184" s="1" t="s">
        <v>21</v>
      </c>
      <c r="B184" s="1" t="s">
        <v>230</v>
      </c>
      <c r="C184" s="2">
        <v>22.77</v>
      </c>
      <c r="D184" s="1">
        <v>41</v>
      </c>
      <c r="E184" s="1">
        <v>203</v>
      </c>
      <c r="F184" s="1">
        <v>24</v>
      </c>
      <c r="G184" s="1">
        <v>25</v>
      </c>
      <c r="H184" s="1" t="str">
        <f>IF(Table1[[#This Row],[Order quantities]]&gt;Table1[[#This Row],[Availability]], "High Risk", "Low Risk")</f>
        <v>Low Risk</v>
      </c>
      <c r="I184" s="1">
        <v>1</v>
      </c>
      <c r="J184" s="1" t="s">
        <v>43</v>
      </c>
      <c r="K184" s="4">
        <v>1.561881946</v>
      </c>
      <c r="L184" s="1" t="s">
        <v>32</v>
      </c>
      <c r="M184" s="1" t="s">
        <v>49</v>
      </c>
      <c r="N184" s="1">
        <v>30</v>
      </c>
      <c r="O184" s="1">
        <v>863</v>
      </c>
      <c r="P184" s="1">
        <v>14</v>
      </c>
      <c r="Q184" s="4">
        <v>59.44857511</v>
      </c>
      <c r="R184" s="1" t="s">
        <v>51</v>
      </c>
      <c r="S184" s="3">
        <v>1.6391381140000001</v>
      </c>
      <c r="T184" s="1" t="s">
        <v>35</v>
      </c>
      <c r="U184" s="1" t="s">
        <v>53</v>
      </c>
      <c r="V184" s="4">
        <v>127.3053221</v>
      </c>
      <c r="W184" s="8">
        <f>Table1[[#This Row],[Revenue]]-Table1[[#This Row],[Shipping costs]]-Table1[[#This Row],[Manufacturing costs]]</f>
        <v>66.294865044000005</v>
      </c>
    </row>
    <row r="185" spans="1:23" ht="14.25" customHeight="1" x14ac:dyDescent="0.25">
      <c r="A185" s="1" t="s">
        <v>21</v>
      </c>
      <c r="B185" s="1" t="s">
        <v>231</v>
      </c>
      <c r="C185" s="2">
        <v>35.75</v>
      </c>
      <c r="D185" s="1">
        <v>8</v>
      </c>
      <c r="E185" s="1">
        <v>164</v>
      </c>
      <c r="F185" s="1">
        <v>27</v>
      </c>
      <c r="G185" s="1">
        <v>54</v>
      </c>
      <c r="H185" s="1" t="str">
        <f>IF(Table1[[#This Row],[Order quantities]]&gt;Table1[[#This Row],[Availability]], "High Risk", "Low Risk")</f>
        <v>High Risk</v>
      </c>
      <c r="I185" s="1">
        <v>9</v>
      </c>
      <c r="J185" s="1" t="s">
        <v>31</v>
      </c>
      <c r="K185" s="4">
        <v>5.3755628870000001</v>
      </c>
      <c r="L185" s="1" t="s">
        <v>24</v>
      </c>
      <c r="M185" s="1" t="s">
        <v>62</v>
      </c>
      <c r="N185" s="1">
        <v>24</v>
      </c>
      <c r="O185" s="1">
        <v>801</v>
      </c>
      <c r="P185" s="1">
        <v>24</v>
      </c>
      <c r="Q185" s="4">
        <v>69.056113260000004</v>
      </c>
      <c r="R185" s="1" t="s">
        <v>51</v>
      </c>
      <c r="S185" s="3">
        <v>3.2039741839999998</v>
      </c>
      <c r="T185" s="1" t="s">
        <v>27</v>
      </c>
      <c r="U185" s="1" t="s">
        <v>39</v>
      </c>
      <c r="V185" s="4">
        <v>998.73835110000005</v>
      </c>
      <c r="W185" s="8">
        <f>Table1[[#This Row],[Revenue]]-Table1[[#This Row],[Shipping costs]]-Table1[[#This Row],[Manufacturing costs]]</f>
        <v>924.30667495300008</v>
      </c>
    </row>
    <row r="186" spans="1:23" ht="14.25" customHeight="1" x14ac:dyDescent="0.25">
      <c r="A186" s="1" t="s">
        <v>29</v>
      </c>
      <c r="B186" s="1" t="s">
        <v>232</v>
      </c>
      <c r="C186" s="2">
        <v>45.42</v>
      </c>
      <c r="D186" s="1">
        <v>78</v>
      </c>
      <c r="E186" s="1">
        <v>304</v>
      </c>
      <c r="F186" s="1">
        <v>29</v>
      </c>
      <c r="G186" s="1">
        <v>28</v>
      </c>
      <c r="H186" s="1" t="str">
        <f>IF(Table1[[#This Row],[Order quantities]]&gt;Table1[[#This Row],[Availability]], "High Risk", "Low Risk")</f>
        <v>Low Risk</v>
      </c>
      <c r="I186" s="1">
        <v>7</v>
      </c>
      <c r="J186" s="1" t="s">
        <v>31</v>
      </c>
      <c r="K186" s="4">
        <v>1.981122541</v>
      </c>
      <c r="L186" s="1" t="s">
        <v>24</v>
      </c>
      <c r="M186" s="1" t="s">
        <v>46</v>
      </c>
      <c r="N186" s="1">
        <v>16</v>
      </c>
      <c r="O186" s="1">
        <v>251</v>
      </c>
      <c r="P186" s="1">
        <v>4</v>
      </c>
      <c r="Q186" s="4">
        <v>44.401358799999997</v>
      </c>
      <c r="R186" s="1" t="s">
        <v>34</v>
      </c>
      <c r="S186" s="3">
        <v>0.61842176100000001</v>
      </c>
      <c r="T186" s="1" t="s">
        <v>35</v>
      </c>
      <c r="U186" s="1" t="s">
        <v>28</v>
      </c>
      <c r="V186" s="4">
        <v>661.2650496</v>
      </c>
      <c r="W186" s="8">
        <f>Table1[[#This Row],[Revenue]]-Table1[[#This Row],[Shipping costs]]-Table1[[#This Row],[Manufacturing costs]]</f>
        <v>614.88256825899998</v>
      </c>
    </row>
    <row r="187" spans="1:23" ht="14.25" customHeight="1" x14ac:dyDescent="0.25">
      <c r="A187" s="1" t="s">
        <v>29</v>
      </c>
      <c r="B187" s="1" t="s">
        <v>233</v>
      </c>
      <c r="C187" s="2">
        <v>53.22</v>
      </c>
      <c r="D187" s="1">
        <v>39</v>
      </c>
      <c r="E187" s="1">
        <v>496</v>
      </c>
      <c r="F187" s="1">
        <v>19</v>
      </c>
      <c r="G187" s="1">
        <v>73</v>
      </c>
      <c r="H187" s="1" t="str">
        <f>IF(Table1[[#This Row],[Order quantities]]&gt;Table1[[#This Row],[Availability]], "High Risk", "Low Risk")</f>
        <v>High Risk</v>
      </c>
      <c r="I187" s="1">
        <v>2</v>
      </c>
      <c r="J187" s="1" t="s">
        <v>43</v>
      </c>
      <c r="K187" s="4">
        <v>3.2368583879999999</v>
      </c>
      <c r="L187" s="1" t="s">
        <v>41</v>
      </c>
      <c r="M187" s="1" t="s">
        <v>33</v>
      </c>
      <c r="N187" s="1">
        <v>15</v>
      </c>
      <c r="O187" s="1">
        <v>401</v>
      </c>
      <c r="P187" s="1">
        <v>17</v>
      </c>
      <c r="Q187" s="4">
        <v>35.361248279999998</v>
      </c>
      <c r="R187" s="1" t="s">
        <v>26</v>
      </c>
      <c r="S187" s="3">
        <v>3.1798657509999999</v>
      </c>
      <c r="T187" s="1" t="s">
        <v>27</v>
      </c>
      <c r="U187" s="1" t="s">
        <v>53</v>
      </c>
      <c r="V187" s="4">
        <v>602.83629510000003</v>
      </c>
      <c r="W187" s="8">
        <f>Table1[[#This Row],[Revenue]]-Table1[[#This Row],[Shipping costs]]-Table1[[#This Row],[Manufacturing costs]]</f>
        <v>564.23818843200002</v>
      </c>
    </row>
    <row r="188" spans="1:23" ht="14.25" customHeight="1" x14ac:dyDescent="0.25">
      <c r="A188" s="1" t="s">
        <v>29</v>
      </c>
      <c r="B188" s="1" t="s">
        <v>234</v>
      </c>
      <c r="C188" s="2">
        <v>28.03</v>
      </c>
      <c r="D188" s="1">
        <v>24</v>
      </c>
      <c r="E188" s="1">
        <v>631</v>
      </c>
      <c r="F188" s="1">
        <v>6</v>
      </c>
      <c r="G188" s="1">
        <v>56</v>
      </c>
      <c r="H188" s="1" t="str">
        <f>IF(Table1[[#This Row],[Order quantities]]&gt;Table1[[#This Row],[Availability]], "High Risk", "Low Risk")</f>
        <v>High Risk</v>
      </c>
      <c r="I188" s="1">
        <v>6</v>
      </c>
      <c r="J188" s="1" t="s">
        <v>43</v>
      </c>
      <c r="K188" s="4">
        <v>3.8524835959999999</v>
      </c>
      <c r="L188" s="1" t="s">
        <v>24</v>
      </c>
      <c r="M188" s="1" t="s">
        <v>62</v>
      </c>
      <c r="N188" s="1">
        <v>12</v>
      </c>
      <c r="O188" s="1">
        <v>377</v>
      </c>
      <c r="P188" s="1">
        <v>21</v>
      </c>
      <c r="Q188" s="4">
        <v>74.978483229999995</v>
      </c>
      <c r="R188" s="1" t="s">
        <v>34</v>
      </c>
      <c r="S188" s="3">
        <v>0.56569717900000005</v>
      </c>
      <c r="T188" s="1" t="s">
        <v>35</v>
      </c>
      <c r="U188" s="1" t="s">
        <v>28</v>
      </c>
      <c r="V188" s="4">
        <v>153.5611983</v>
      </c>
      <c r="W188" s="8">
        <f>Table1[[#This Row],[Revenue]]-Table1[[#This Row],[Shipping costs]]-Table1[[#This Row],[Manufacturing costs]]</f>
        <v>74.730231473999993</v>
      </c>
    </row>
    <row r="189" spans="1:23" ht="14.25" customHeight="1" x14ac:dyDescent="0.25">
      <c r="A189" s="1" t="s">
        <v>21</v>
      </c>
      <c r="B189" s="1" t="s">
        <v>235</v>
      </c>
      <c r="C189" s="2">
        <v>15.91</v>
      </c>
      <c r="D189" s="1">
        <v>4</v>
      </c>
      <c r="E189" s="1">
        <v>555</v>
      </c>
      <c r="F189" s="1">
        <v>25</v>
      </c>
      <c r="G189" s="1">
        <v>65</v>
      </c>
      <c r="H189" s="1" t="str">
        <f>IF(Table1[[#This Row],[Order quantities]]&gt;Table1[[#This Row],[Availability]], "High Risk", "Low Risk")</f>
        <v>High Risk</v>
      </c>
      <c r="I189" s="1">
        <v>2</v>
      </c>
      <c r="J189" s="1" t="s">
        <v>23</v>
      </c>
      <c r="K189" s="4">
        <v>8.2794369109999995</v>
      </c>
      <c r="L189" s="1" t="s">
        <v>44</v>
      </c>
      <c r="M189" s="1" t="s">
        <v>62</v>
      </c>
      <c r="N189" s="1">
        <v>9</v>
      </c>
      <c r="O189" s="1">
        <v>750</v>
      </c>
      <c r="P189" s="1">
        <v>14</v>
      </c>
      <c r="Q189" s="4">
        <v>87.568763410000003</v>
      </c>
      <c r="R189" s="1" t="s">
        <v>34</v>
      </c>
      <c r="S189" s="3">
        <v>0.56527287199999998</v>
      </c>
      <c r="T189" s="1" t="s">
        <v>27</v>
      </c>
      <c r="U189" s="1" t="s">
        <v>39</v>
      </c>
      <c r="V189" s="4">
        <v>345.99598900000001</v>
      </c>
      <c r="W189" s="8">
        <f>Table1[[#This Row],[Revenue]]-Table1[[#This Row],[Shipping costs]]-Table1[[#This Row],[Manufacturing costs]]</f>
        <v>250.147788679</v>
      </c>
    </row>
    <row r="190" spans="1:23" ht="14.25" customHeight="1" x14ac:dyDescent="0.25">
      <c r="A190" s="1" t="s">
        <v>21</v>
      </c>
      <c r="B190" s="1" t="s">
        <v>236</v>
      </c>
      <c r="C190" s="2">
        <v>63.01</v>
      </c>
      <c r="D190" s="1">
        <v>10</v>
      </c>
      <c r="E190" s="1">
        <v>823</v>
      </c>
      <c r="F190" s="1">
        <v>1</v>
      </c>
      <c r="G190" s="1">
        <v>93</v>
      </c>
      <c r="H190" s="1" t="str">
        <f>IF(Table1[[#This Row],[Order quantities]]&gt;Table1[[#This Row],[Availability]], "High Risk", "Low Risk")</f>
        <v>High Risk</v>
      </c>
      <c r="I190" s="1">
        <v>1</v>
      </c>
      <c r="J190" s="1" t="s">
        <v>43</v>
      </c>
      <c r="K190" s="4">
        <v>8.8793978540000005</v>
      </c>
      <c r="L190" s="1" t="s">
        <v>44</v>
      </c>
      <c r="M190" s="1" t="s">
        <v>46</v>
      </c>
      <c r="N190" s="1">
        <v>8</v>
      </c>
      <c r="O190" s="1">
        <v>787</v>
      </c>
      <c r="P190" s="1">
        <v>16</v>
      </c>
      <c r="Q190" s="4">
        <v>68.86697977</v>
      </c>
      <c r="R190" s="1" t="s">
        <v>26</v>
      </c>
      <c r="S190" s="3">
        <v>3.66809845</v>
      </c>
      <c r="T190" s="1" t="s">
        <v>35</v>
      </c>
      <c r="U190" s="1" t="s">
        <v>28</v>
      </c>
      <c r="V190" s="4">
        <v>932.19641950000005</v>
      </c>
      <c r="W190" s="8">
        <f>Table1[[#This Row],[Revenue]]-Table1[[#This Row],[Shipping costs]]-Table1[[#This Row],[Manufacturing costs]]</f>
        <v>854.45004187600011</v>
      </c>
    </row>
    <row r="191" spans="1:23" ht="14.25" customHeight="1" x14ac:dyDescent="0.25">
      <c r="A191" s="1" t="s">
        <v>29</v>
      </c>
      <c r="B191" s="1" t="s">
        <v>237</v>
      </c>
      <c r="C191" s="2">
        <v>32.42</v>
      </c>
      <c r="D191" s="1">
        <v>58</v>
      </c>
      <c r="E191" s="1">
        <v>155</v>
      </c>
      <c r="F191" s="1">
        <v>17</v>
      </c>
      <c r="G191" s="1">
        <v>86</v>
      </c>
      <c r="H191" s="1" t="str">
        <f>IF(Table1[[#This Row],[Order quantities]]&gt;Table1[[#This Row],[Availability]], "High Risk", "Low Risk")</f>
        <v>High Risk</v>
      </c>
      <c r="I191" s="1">
        <v>7</v>
      </c>
      <c r="J191" s="1" t="s">
        <v>31</v>
      </c>
      <c r="K191" s="4">
        <v>3.7221968570000001</v>
      </c>
      <c r="L191" s="1" t="s">
        <v>24</v>
      </c>
      <c r="M191" s="1" t="s">
        <v>33</v>
      </c>
      <c r="N191" s="1">
        <v>18</v>
      </c>
      <c r="O191" s="1">
        <v>107</v>
      </c>
      <c r="P191" s="1">
        <v>14</v>
      </c>
      <c r="Q191" s="4">
        <v>56.043154960000003</v>
      </c>
      <c r="R191" s="1" t="s">
        <v>26</v>
      </c>
      <c r="S191" s="3">
        <v>1.688262352</v>
      </c>
      <c r="T191" s="1" t="s">
        <v>27</v>
      </c>
      <c r="U191" s="1" t="s">
        <v>53</v>
      </c>
      <c r="V191" s="4">
        <v>418.82140290000001</v>
      </c>
      <c r="W191" s="8">
        <f>Table1[[#This Row],[Revenue]]-Table1[[#This Row],[Shipping costs]]-Table1[[#This Row],[Manufacturing costs]]</f>
        <v>359.056051083</v>
      </c>
    </row>
    <row r="192" spans="1:23" ht="14.25" customHeight="1" x14ac:dyDescent="0.25">
      <c r="A192" s="1" t="s">
        <v>29</v>
      </c>
      <c r="B192" s="1" t="s">
        <v>238</v>
      </c>
      <c r="C192" s="2">
        <v>60.22</v>
      </c>
      <c r="D192" s="1">
        <v>97</v>
      </c>
      <c r="E192" s="1">
        <v>366</v>
      </c>
      <c r="F192" s="1">
        <v>8</v>
      </c>
      <c r="G192" s="1">
        <v>80</v>
      </c>
      <c r="H192" s="1" t="str">
        <f>IF(Table1[[#This Row],[Order quantities]]&gt;Table1[[#This Row],[Availability]], "High Risk", "Low Risk")</f>
        <v>Low Risk</v>
      </c>
      <c r="I192" s="1">
        <v>2</v>
      </c>
      <c r="J192" s="1" t="s">
        <v>23</v>
      </c>
      <c r="K192" s="4">
        <v>8.7282830909999998</v>
      </c>
      <c r="L192" s="1" t="s">
        <v>41</v>
      </c>
      <c r="M192" s="1" t="s">
        <v>55</v>
      </c>
      <c r="N192" s="1">
        <v>23</v>
      </c>
      <c r="O192" s="1">
        <v>906</v>
      </c>
      <c r="P192" s="1">
        <v>16</v>
      </c>
      <c r="Q192" s="4">
        <v>24.30322902</v>
      </c>
      <c r="R192" s="1" t="s">
        <v>51</v>
      </c>
      <c r="S192" s="3">
        <v>4.8893724440000002</v>
      </c>
      <c r="T192" s="1" t="s">
        <v>27</v>
      </c>
      <c r="U192" s="1" t="s">
        <v>39</v>
      </c>
      <c r="V192" s="4">
        <v>695.48788039999999</v>
      </c>
      <c r="W192" s="8">
        <f>Table1[[#This Row],[Revenue]]-Table1[[#This Row],[Shipping costs]]-Table1[[#This Row],[Manufacturing costs]]</f>
        <v>662.45636828900001</v>
      </c>
    </row>
    <row r="193" spans="1:23" ht="14.25" customHeight="1" x14ac:dyDescent="0.25">
      <c r="A193" s="1" t="s">
        <v>29</v>
      </c>
      <c r="B193" s="1" t="s">
        <v>239</v>
      </c>
      <c r="C193" s="2">
        <v>19.66</v>
      </c>
      <c r="D193" s="1">
        <v>87</v>
      </c>
      <c r="E193" s="1">
        <v>718</v>
      </c>
      <c r="F193" s="1">
        <v>19</v>
      </c>
      <c r="G193" s="1">
        <v>41</v>
      </c>
      <c r="H193" s="1" t="str">
        <f>IF(Table1[[#This Row],[Order quantities]]&gt;Table1[[#This Row],[Availability]], "High Risk", "Low Risk")</f>
        <v>Low Risk</v>
      </c>
      <c r="I193" s="1">
        <v>2</v>
      </c>
      <c r="J193" s="1" t="s">
        <v>31</v>
      </c>
      <c r="K193" s="4">
        <v>8.7150784360000007</v>
      </c>
      <c r="L193" s="1" t="s">
        <v>41</v>
      </c>
      <c r="M193" s="1" t="s">
        <v>55</v>
      </c>
      <c r="N193" s="1">
        <v>18</v>
      </c>
      <c r="O193" s="1">
        <v>334</v>
      </c>
      <c r="P193" s="1">
        <v>24</v>
      </c>
      <c r="Q193" s="4">
        <v>14.811284130000001</v>
      </c>
      <c r="R193" s="1" t="s">
        <v>34</v>
      </c>
      <c r="S193" s="3">
        <v>0.28302938900000002</v>
      </c>
      <c r="T193" s="1" t="s">
        <v>47</v>
      </c>
      <c r="U193" s="1" t="s">
        <v>39</v>
      </c>
      <c r="V193" s="4">
        <v>999.54671540000004</v>
      </c>
      <c r="W193" s="8">
        <f>Table1[[#This Row],[Revenue]]-Table1[[#This Row],[Shipping costs]]-Table1[[#This Row],[Manufacturing costs]]</f>
        <v>976.02035283400005</v>
      </c>
    </row>
    <row r="194" spans="1:23" ht="14.25" customHeight="1" x14ac:dyDescent="0.25">
      <c r="A194" s="1" t="s">
        <v>29</v>
      </c>
      <c r="B194" s="1" t="s">
        <v>240</v>
      </c>
      <c r="C194" s="2">
        <v>50.71</v>
      </c>
      <c r="D194" s="1">
        <v>78</v>
      </c>
      <c r="E194" s="1">
        <v>901</v>
      </c>
      <c r="F194" s="1">
        <v>21</v>
      </c>
      <c r="G194" s="1">
        <v>51</v>
      </c>
      <c r="H194" s="1" t="str">
        <f>IF(Table1[[#This Row],[Order quantities]]&gt;Table1[[#This Row],[Availability]], "High Risk", "Low Risk")</f>
        <v>Low Risk</v>
      </c>
      <c r="I194" s="1">
        <v>5</v>
      </c>
      <c r="J194" s="1" t="s">
        <v>43</v>
      </c>
      <c r="K194" s="4">
        <v>7.8818585529999998</v>
      </c>
      <c r="L194" s="1" t="s">
        <v>32</v>
      </c>
      <c r="M194" s="1" t="s">
        <v>62</v>
      </c>
      <c r="N194" s="1">
        <v>13</v>
      </c>
      <c r="O194" s="1">
        <v>774</v>
      </c>
      <c r="P194" s="1">
        <v>20</v>
      </c>
      <c r="Q194" s="4">
        <v>50.112261119999999</v>
      </c>
      <c r="R194" s="1" t="s">
        <v>34</v>
      </c>
      <c r="S194" s="3">
        <v>2.2810226519999999</v>
      </c>
      <c r="T194" s="1" t="s">
        <v>47</v>
      </c>
      <c r="U194" s="1" t="s">
        <v>39</v>
      </c>
      <c r="V194" s="4">
        <v>336.7627425</v>
      </c>
      <c r="W194" s="8">
        <f>Table1[[#This Row],[Revenue]]-Table1[[#This Row],[Shipping costs]]-Table1[[#This Row],[Manufacturing costs]]</f>
        <v>278.76862282700006</v>
      </c>
    </row>
    <row r="195" spans="1:23" ht="14.25" customHeight="1" x14ac:dyDescent="0.25">
      <c r="A195" s="1" t="s">
        <v>29</v>
      </c>
      <c r="B195" s="1" t="s">
        <v>241</v>
      </c>
      <c r="C195" s="2">
        <v>55.6</v>
      </c>
      <c r="D195" s="1">
        <v>37</v>
      </c>
      <c r="E195" s="1">
        <v>619</v>
      </c>
      <c r="F195" s="1">
        <v>1</v>
      </c>
      <c r="G195" s="1">
        <v>71</v>
      </c>
      <c r="H195" s="1" t="str">
        <f>IF(Table1[[#This Row],[Order quantities]]&gt;Table1[[#This Row],[Availability]], "High Risk", "Low Risk")</f>
        <v>High Risk</v>
      </c>
      <c r="I195" s="1">
        <v>5</v>
      </c>
      <c r="J195" s="1" t="s">
        <v>23</v>
      </c>
      <c r="K195" s="4">
        <v>2.320256026</v>
      </c>
      <c r="L195" s="1" t="s">
        <v>38</v>
      </c>
      <c r="M195" s="1" t="s">
        <v>62</v>
      </c>
      <c r="N195" s="1">
        <v>28</v>
      </c>
      <c r="O195" s="1">
        <v>660</v>
      </c>
      <c r="P195" s="1">
        <v>29</v>
      </c>
      <c r="Q195" s="4">
        <v>14.441460729999999</v>
      </c>
      <c r="R195" s="1" t="s">
        <v>51</v>
      </c>
      <c r="S195" s="3">
        <v>0.65436609499999998</v>
      </c>
      <c r="T195" s="1" t="s">
        <v>27</v>
      </c>
      <c r="U195" s="1" t="s">
        <v>53</v>
      </c>
      <c r="V195" s="4">
        <v>618.47279109999999</v>
      </c>
      <c r="W195" s="8">
        <f>Table1[[#This Row],[Revenue]]-Table1[[#This Row],[Shipping costs]]-Table1[[#This Row],[Manufacturing costs]]</f>
        <v>601.71107434399994</v>
      </c>
    </row>
    <row r="196" spans="1:23" ht="14.25" customHeight="1" x14ac:dyDescent="0.25">
      <c r="A196" s="1" t="s">
        <v>21</v>
      </c>
      <c r="B196" s="1" t="s">
        <v>242</v>
      </c>
      <c r="C196" s="2">
        <v>9.92</v>
      </c>
      <c r="D196" s="1">
        <v>71</v>
      </c>
      <c r="E196" s="1">
        <v>250</v>
      </c>
      <c r="F196" s="1">
        <v>5</v>
      </c>
      <c r="G196" s="1">
        <v>78</v>
      </c>
      <c r="H196" s="1" t="str">
        <f>IF(Table1[[#This Row],[Order quantities]]&gt;Table1[[#This Row],[Availability]], "High Risk", "Low Risk")</f>
        <v>High Risk</v>
      </c>
      <c r="I196" s="1">
        <v>7</v>
      </c>
      <c r="J196" s="1" t="s">
        <v>23</v>
      </c>
      <c r="K196" s="4">
        <v>7.2129056220000001</v>
      </c>
      <c r="L196" s="1" t="s">
        <v>44</v>
      </c>
      <c r="M196" s="1" t="s">
        <v>49</v>
      </c>
      <c r="N196" s="1">
        <v>27</v>
      </c>
      <c r="O196" s="1">
        <v>401</v>
      </c>
      <c r="P196" s="1">
        <v>28</v>
      </c>
      <c r="Q196" s="4">
        <v>61.240116870000001</v>
      </c>
      <c r="R196" s="1" t="s">
        <v>34</v>
      </c>
      <c r="S196" s="3">
        <v>1.821756937</v>
      </c>
      <c r="T196" s="1" t="s">
        <v>47</v>
      </c>
      <c r="U196" s="1" t="s">
        <v>39</v>
      </c>
      <c r="V196" s="4">
        <v>726.79401340000004</v>
      </c>
      <c r="W196" s="8">
        <f>Table1[[#This Row],[Revenue]]-Table1[[#This Row],[Shipping costs]]-Table1[[#This Row],[Manufacturing costs]]</f>
        <v>658.34099090800009</v>
      </c>
    </row>
    <row r="197" spans="1:23" ht="14.25" customHeight="1" x14ac:dyDescent="0.25">
      <c r="A197" s="1" t="s">
        <v>21</v>
      </c>
      <c r="B197" s="1" t="s">
        <v>243</v>
      </c>
      <c r="C197" s="2">
        <v>36.979999999999997</v>
      </c>
      <c r="D197" s="1">
        <v>4</v>
      </c>
      <c r="E197" s="1">
        <v>956</v>
      </c>
      <c r="F197" s="1">
        <v>27</v>
      </c>
      <c r="G197" s="1">
        <v>29</v>
      </c>
      <c r="H197" s="1" t="str">
        <f>IF(Table1[[#This Row],[Order quantities]]&gt;Table1[[#This Row],[Availability]], "High Risk", "Low Risk")</f>
        <v>High Risk</v>
      </c>
      <c r="I197" s="1">
        <v>1</v>
      </c>
      <c r="J197" s="1" t="s">
        <v>23</v>
      </c>
      <c r="K197" s="4">
        <v>9.5052165810000009</v>
      </c>
      <c r="L197" s="1" t="s">
        <v>32</v>
      </c>
      <c r="M197" s="1" t="s">
        <v>55</v>
      </c>
      <c r="N197" s="1">
        <v>18</v>
      </c>
      <c r="O197" s="1">
        <v>137</v>
      </c>
      <c r="P197" s="1">
        <v>8</v>
      </c>
      <c r="Q197" s="4">
        <v>44.445627219999999</v>
      </c>
      <c r="R197" s="1" t="s">
        <v>26</v>
      </c>
      <c r="S197" s="3">
        <v>4.991290008</v>
      </c>
      <c r="T197" s="1" t="s">
        <v>35</v>
      </c>
      <c r="U197" s="1" t="s">
        <v>53</v>
      </c>
      <c r="V197" s="4">
        <v>248.16452190000001</v>
      </c>
      <c r="W197" s="8">
        <f>Table1[[#This Row],[Revenue]]-Table1[[#This Row],[Shipping costs]]-Table1[[#This Row],[Manufacturing costs]]</f>
        <v>194.21367809899999</v>
      </c>
    </row>
    <row r="198" spans="1:23" ht="14.25" customHeight="1" x14ac:dyDescent="0.25">
      <c r="A198" s="1" t="s">
        <v>29</v>
      </c>
      <c r="B198" s="1" t="s">
        <v>244</v>
      </c>
      <c r="C198" s="2">
        <v>17.77</v>
      </c>
      <c r="D198" s="1">
        <v>47</v>
      </c>
      <c r="E198" s="1">
        <v>915</v>
      </c>
      <c r="F198" s="1">
        <v>16</v>
      </c>
      <c r="G198" s="1">
        <v>83</v>
      </c>
      <c r="H198" s="1" t="str">
        <f>IF(Table1[[#This Row],[Order quantities]]&gt;Table1[[#This Row],[Availability]], "High Risk", "Low Risk")</f>
        <v>High Risk</v>
      </c>
      <c r="I198" s="1">
        <v>8</v>
      </c>
      <c r="J198" s="1" t="s">
        <v>23</v>
      </c>
      <c r="K198" s="4">
        <v>7.1428643090000001</v>
      </c>
      <c r="L198" s="1" t="s">
        <v>24</v>
      </c>
      <c r="M198" s="1" t="s">
        <v>62</v>
      </c>
      <c r="N198" s="1">
        <v>15</v>
      </c>
      <c r="O198" s="1">
        <v>235</v>
      </c>
      <c r="P198" s="1">
        <v>24</v>
      </c>
      <c r="Q198" s="4">
        <v>78.147020769999997</v>
      </c>
      <c r="R198" s="1" t="s">
        <v>26</v>
      </c>
      <c r="S198" s="3">
        <v>4.4553283080000003</v>
      </c>
      <c r="T198" s="1" t="s">
        <v>35</v>
      </c>
      <c r="U198" s="1" t="s">
        <v>28</v>
      </c>
      <c r="V198" s="4">
        <v>233.80530730000001</v>
      </c>
      <c r="W198" s="8">
        <f>Table1[[#This Row],[Revenue]]-Table1[[#This Row],[Shipping costs]]-Table1[[#This Row],[Manufacturing costs]]</f>
        <v>148.51542222099999</v>
      </c>
    </row>
    <row r="199" spans="1:23" ht="14.25" customHeight="1" x14ac:dyDescent="0.25">
      <c r="A199" s="1" t="s">
        <v>29</v>
      </c>
      <c r="B199" s="1" t="s">
        <v>245</v>
      </c>
      <c r="C199" s="2">
        <v>11.02</v>
      </c>
      <c r="D199" s="1">
        <v>89</v>
      </c>
      <c r="E199" s="1">
        <v>881</v>
      </c>
      <c r="F199" s="1">
        <v>6</v>
      </c>
      <c r="G199" s="1">
        <v>19</v>
      </c>
      <c r="H199" s="1" t="str">
        <f>IF(Table1[[#This Row],[Order quantities]]&gt;Table1[[#This Row],[Availability]], "High Risk", "Low Risk")</f>
        <v>Low Risk</v>
      </c>
      <c r="I199" s="1">
        <v>3</v>
      </c>
      <c r="J199" s="1" t="s">
        <v>23</v>
      </c>
      <c r="K199" s="4">
        <v>3.984551642</v>
      </c>
      <c r="L199" s="1" t="s">
        <v>44</v>
      </c>
      <c r="M199" s="1" t="s">
        <v>33</v>
      </c>
      <c r="N199" s="1">
        <v>4</v>
      </c>
      <c r="O199" s="1">
        <v>921</v>
      </c>
      <c r="P199" s="1">
        <v>3</v>
      </c>
      <c r="Q199" s="4">
        <v>37.508364720000003</v>
      </c>
      <c r="R199" s="1" t="s">
        <v>34</v>
      </c>
      <c r="S199" s="3">
        <v>0.33678960299999999</v>
      </c>
      <c r="T199" s="1" t="s">
        <v>27</v>
      </c>
      <c r="U199" s="1" t="s">
        <v>53</v>
      </c>
      <c r="V199" s="4">
        <v>510.6771205</v>
      </c>
      <c r="W199" s="8">
        <f>Table1[[#This Row],[Revenue]]-Table1[[#This Row],[Shipping costs]]-Table1[[#This Row],[Manufacturing costs]]</f>
        <v>469.18420413800004</v>
      </c>
    </row>
    <row r="200" spans="1:23" ht="14.25" customHeight="1" x14ac:dyDescent="0.25">
      <c r="A200" s="1" t="s">
        <v>21</v>
      </c>
      <c r="B200" s="1" t="s">
        <v>246</v>
      </c>
      <c r="C200" s="2">
        <v>99.05</v>
      </c>
      <c r="D200" s="1">
        <v>17</v>
      </c>
      <c r="E200" s="1">
        <v>333</v>
      </c>
      <c r="F200" s="1">
        <v>8</v>
      </c>
      <c r="G200" s="1">
        <v>66</v>
      </c>
      <c r="H200" s="1" t="str">
        <f>IF(Table1[[#This Row],[Order quantities]]&gt;Table1[[#This Row],[Availability]], "High Risk", "Low Risk")</f>
        <v>High Risk</v>
      </c>
      <c r="I200" s="1">
        <v>4</v>
      </c>
      <c r="J200" s="1" t="s">
        <v>23</v>
      </c>
      <c r="K200" s="4">
        <v>5.5052138570000002</v>
      </c>
      <c r="L200" s="1" t="s">
        <v>41</v>
      </c>
      <c r="M200" s="1" t="s">
        <v>46</v>
      </c>
      <c r="N200" s="1">
        <v>17</v>
      </c>
      <c r="O200" s="1">
        <v>520</v>
      </c>
      <c r="P200" s="1">
        <v>25</v>
      </c>
      <c r="Q200" s="4">
        <v>63.36844309</v>
      </c>
      <c r="R200" s="1" t="s">
        <v>34</v>
      </c>
      <c r="S200" s="3">
        <v>2.8599536350000001</v>
      </c>
      <c r="T200" s="1" t="s">
        <v>35</v>
      </c>
      <c r="U200" s="1" t="s">
        <v>53</v>
      </c>
      <c r="V200" s="4">
        <v>447.23126960000002</v>
      </c>
      <c r="W200" s="8">
        <f>Table1[[#This Row],[Revenue]]-Table1[[#This Row],[Shipping costs]]-Table1[[#This Row],[Manufacturing costs]]</f>
        <v>378.35761265300005</v>
      </c>
    </row>
    <row r="201" spans="1:23" ht="14.25" customHeight="1" x14ac:dyDescent="0.25">
      <c r="A201" s="1" t="s">
        <v>21</v>
      </c>
      <c r="B201" s="1" t="s">
        <v>247</v>
      </c>
      <c r="C201" s="2">
        <v>35.619999999999997</v>
      </c>
      <c r="D201" s="1">
        <v>69</v>
      </c>
      <c r="E201" s="1">
        <v>641</v>
      </c>
      <c r="F201" s="1">
        <v>13</v>
      </c>
      <c r="G201" s="1">
        <v>41</v>
      </c>
      <c r="H201" s="1" t="str">
        <f>IF(Table1[[#This Row],[Order quantities]]&gt;Table1[[#This Row],[Availability]], "High Risk", "Low Risk")</f>
        <v>Low Risk</v>
      </c>
      <c r="I201" s="1">
        <v>9</v>
      </c>
      <c r="J201" s="1" t="s">
        <v>31</v>
      </c>
      <c r="K201" s="4">
        <v>6.8115253899999999</v>
      </c>
      <c r="L201" s="1" t="s">
        <v>41</v>
      </c>
      <c r="M201" s="1" t="s">
        <v>33</v>
      </c>
      <c r="N201" s="1">
        <v>5</v>
      </c>
      <c r="O201" s="1">
        <v>318</v>
      </c>
      <c r="P201" s="1">
        <v>19</v>
      </c>
      <c r="Q201" s="4">
        <v>58.391516959999997</v>
      </c>
      <c r="R201" s="1" t="s">
        <v>51</v>
      </c>
      <c r="S201" s="3">
        <v>3.2743292940000002</v>
      </c>
      <c r="T201" s="1" t="s">
        <v>27</v>
      </c>
      <c r="U201" s="1" t="s">
        <v>39</v>
      </c>
      <c r="V201" s="4">
        <v>742.79389319999996</v>
      </c>
      <c r="W201" s="8">
        <f>Table1[[#This Row],[Revenue]]-Table1[[#This Row],[Shipping costs]]-Table1[[#This Row],[Manufacturing costs]]</f>
        <v>677.59085084999992</v>
      </c>
    </row>
    <row r="202" spans="1:23" ht="14.25" customHeight="1" x14ac:dyDescent="0.25">
      <c r="A202" s="1" t="s">
        <v>29</v>
      </c>
      <c r="B202" s="1" t="s">
        <v>248</v>
      </c>
      <c r="C202" s="2">
        <v>81.94</v>
      </c>
      <c r="D202" s="1">
        <v>36</v>
      </c>
      <c r="E202" s="1">
        <v>968</v>
      </c>
      <c r="F202" s="1">
        <v>16</v>
      </c>
      <c r="G202" s="1">
        <v>45</v>
      </c>
      <c r="H202" s="1" t="str">
        <f>IF(Table1[[#This Row],[Order quantities]]&gt;Table1[[#This Row],[Availability]], "High Risk", "Low Risk")</f>
        <v>High Risk</v>
      </c>
      <c r="I202" s="1">
        <v>4</v>
      </c>
      <c r="J202" s="1" t="s">
        <v>31</v>
      </c>
      <c r="K202" s="4">
        <v>5.5951336789999999</v>
      </c>
      <c r="L202" s="1" t="s">
        <v>32</v>
      </c>
      <c r="M202" s="1" t="s">
        <v>55</v>
      </c>
      <c r="N202" s="1">
        <v>22</v>
      </c>
      <c r="O202" s="1">
        <v>447</v>
      </c>
      <c r="P202" s="1">
        <v>1</v>
      </c>
      <c r="Q202" s="4">
        <v>10.4241183</v>
      </c>
      <c r="R202" s="1" t="s">
        <v>34</v>
      </c>
      <c r="S202" s="3">
        <v>1.126719657</v>
      </c>
      <c r="T202" s="1" t="s">
        <v>47</v>
      </c>
      <c r="U202" s="1" t="s">
        <v>39</v>
      </c>
      <c r="V202" s="4">
        <v>162.55789429999999</v>
      </c>
      <c r="W202" s="8">
        <f>Table1[[#This Row],[Revenue]]-Table1[[#This Row],[Shipping costs]]-Table1[[#This Row],[Manufacturing costs]]</f>
        <v>146.53864232099997</v>
      </c>
    </row>
    <row r="203" spans="1:23" ht="14.25" customHeight="1" x14ac:dyDescent="0.25">
      <c r="A203" s="1" t="s">
        <v>21</v>
      </c>
      <c r="B203" s="1" t="s">
        <v>249</v>
      </c>
      <c r="C203" s="2">
        <v>29.19</v>
      </c>
      <c r="D203" s="1">
        <v>59</v>
      </c>
      <c r="E203" s="1">
        <v>510</v>
      </c>
      <c r="F203" s="1">
        <v>30</v>
      </c>
      <c r="G203" s="1">
        <v>15</v>
      </c>
      <c r="H203" s="1" t="str">
        <f>IF(Table1[[#This Row],[Order quantities]]&gt;Table1[[#This Row],[Availability]], "High Risk", "Low Risk")</f>
        <v>Low Risk</v>
      </c>
      <c r="I203" s="1">
        <v>5</v>
      </c>
      <c r="J203" s="1" t="s">
        <v>31</v>
      </c>
      <c r="K203" s="4">
        <v>2.0795764760000002</v>
      </c>
      <c r="L203" s="1" t="s">
        <v>44</v>
      </c>
      <c r="M203" s="1" t="s">
        <v>49</v>
      </c>
      <c r="N203" s="1">
        <v>16</v>
      </c>
      <c r="O203" s="1">
        <v>907</v>
      </c>
      <c r="P203" s="1">
        <v>2</v>
      </c>
      <c r="Q203" s="4">
        <v>16.515045839999999</v>
      </c>
      <c r="R203" s="1" t="s">
        <v>34</v>
      </c>
      <c r="S203" s="3">
        <v>0.81101730999999999</v>
      </c>
      <c r="T203" s="1" t="s">
        <v>27</v>
      </c>
      <c r="U203" s="1" t="s">
        <v>53</v>
      </c>
      <c r="V203" s="4">
        <v>974.94996140000001</v>
      </c>
      <c r="W203" s="8">
        <f>Table1[[#This Row],[Revenue]]-Table1[[#This Row],[Shipping costs]]-Table1[[#This Row],[Manufacturing costs]]</f>
        <v>956.35533908399998</v>
      </c>
    </row>
    <row r="204" spans="1:23" ht="14.25" customHeight="1" x14ac:dyDescent="0.25">
      <c r="A204" s="1" t="s">
        <v>21</v>
      </c>
      <c r="B204" s="1" t="s">
        <v>250</v>
      </c>
      <c r="C204" s="2">
        <v>69.739999999999995</v>
      </c>
      <c r="D204" s="1">
        <v>47</v>
      </c>
      <c r="E204" s="1">
        <v>292</v>
      </c>
      <c r="F204" s="1">
        <v>3</v>
      </c>
      <c r="G204" s="1">
        <v>3</v>
      </c>
      <c r="H204" s="1" t="str">
        <f>IF(Table1[[#This Row],[Order quantities]]&gt;Table1[[#This Row],[Availability]], "High Risk", "Low Risk")</f>
        <v>Low Risk</v>
      </c>
      <c r="I204" s="1">
        <v>7</v>
      </c>
      <c r="J204" s="1" t="s">
        <v>31</v>
      </c>
      <c r="K204" s="4">
        <v>3.8085764019999999</v>
      </c>
      <c r="L204" s="1" t="s">
        <v>44</v>
      </c>
      <c r="M204" s="1" t="s">
        <v>49</v>
      </c>
      <c r="N204" s="1">
        <v>9</v>
      </c>
      <c r="O204" s="1">
        <v>645</v>
      </c>
      <c r="P204" s="1">
        <v>15</v>
      </c>
      <c r="Q204" s="4">
        <v>36.133139120000003</v>
      </c>
      <c r="R204" s="1" t="s">
        <v>34</v>
      </c>
      <c r="S204" s="3">
        <v>4.5314675600000003</v>
      </c>
      <c r="T204" s="1" t="s">
        <v>47</v>
      </c>
      <c r="U204" s="1" t="s">
        <v>39</v>
      </c>
      <c r="V204" s="4">
        <v>112.8492835</v>
      </c>
      <c r="W204" s="8">
        <f>Table1[[#This Row],[Revenue]]-Table1[[#This Row],[Shipping costs]]-Table1[[#This Row],[Manufacturing costs]]</f>
        <v>72.907567978000003</v>
      </c>
    </row>
    <row r="205" spans="1:23" ht="14.25" customHeight="1" x14ac:dyDescent="0.25">
      <c r="A205" s="1" t="s">
        <v>29</v>
      </c>
      <c r="B205" s="1" t="s">
        <v>251</v>
      </c>
      <c r="C205" s="2">
        <v>77.22</v>
      </c>
      <c r="D205" s="1">
        <v>76</v>
      </c>
      <c r="E205" s="1">
        <v>19</v>
      </c>
      <c r="F205" s="1">
        <v>19</v>
      </c>
      <c r="G205" s="1">
        <v>11</v>
      </c>
      <c r="H205" s="1" t="str">
        <f>IF(Table1[[#This Row],[Order quantities]]&gt;Table1[[#This Row],[Availability]], "High Risk", "Low Risk")</f>
        <v>Low Risk</v>
      </c>
      <c r="I205" s="1">
        <v>4</v>
      </c>
      <c r="J205" s="1" t="s">
        <v>23</v>
      </c>
      <c r="K205" s="4">
        <v>8.2215642750000004</v>
      </c>
      <c r="L205" s="1" t="s">
        <v>38</v>
      </c>
      <c r="M205" s="1" t="s">
        <v>55</v>
      </c>
      <c r="N205" s="1">
        <v>10</v>
      </c>
      <c r="O205" s="1">
        <v>963</v>
      </c>
      <c r="P205" s="1">
        <v>22</v>
      </c>
      <c r="Q205" s="4">
        <v>89.40115729</v>
      </c>
      <c r="R205" s="1" t="s">
        <v>34</v>
      </c>
      <c r="S205" s="3">
        <v>4.8472005630000004</v>
      </c>
      <c r="T205" s="1" t="s">
        <v>27</v>
      </c>
      <c r="U205" s="1" t="s">
        <v>39</v>
      </c>
      <c r="V205" s="4">
        <v>641.18514189999996</v>
      </c>
      <c r="W205" s="8">
        <f>Table1[[#This Row],[Revenue]]-Table1[[#This Row],[Shipping costs]]-Table1[[#This Row],[Manufacturing costs]]</f>
        <v>543.56242033499996</v>
      </c>
    </row>
    <row r="206" spans="1:23" ht="14.25" customHeight="1" x14ac:dyDescent="0.25">
      <c r="A206" s="1" t="s">
        <v>29</v>
      </c>
      <c r="B206" s="1" t="s">
        <v>252</v>
      </c>
      <c r="C206" s="2">
        <v>61.59</v>
      </c>
      <c r="D206" s="1">
        <v>27</v>
      </c>
      <c r="E206" s="1">
        <v>281</v>
      </c>
      <c r="F206" s="1">
        <v>12</v>
      </c>
      <c r="G206" s="1">
        <v>53</v>
      </c>
      <c r="H206" s="1" t="str">
        <f>IF(Table1[[#This Row],[Order quantities]]&gt;Table1[[#This Row],[Availability]], "High Risk", "Low Risk")</f>
        <v>High Risk</v>
      </c>
      <c r="I206" s="1">
        <v>1</v>
      </c>
      <c r="J206" s="1" t="s">
        <v>43</v>
      </c>
      <c r="K206" s="4">
        <v>8.7527624149999994</v>
      </c>
      <c r="L206" s="1" t="s">
        <v>38</v>
      </c>
      <c r="M206" s="1" t="s">
        <v>55</v>
      </c>
      <c r="N206" s="1">
        <v>24</v>
      </c>
      <c r="O206" s="1">
        <v>178</v>
      </c>
      <c r="P206" s="1">
        <v>28</v>
      </c>
      <c r="Q206" s="4">
        <v>23.231345940000001</v>
      </c>
      <c r="R206" s="1" t="s">
        <v>34</v>
      </c>
      <c r="S206" s="3">
        <v>4.9602750010000003</v>
      </c>
      <c r="T206" s="1" t="s">
        <v>35</v>
      </c>
      <c r="U206" s="1" t="s">
        <v>53</v>
      </c>
      <c r="V206" s="4">
        <v>606.36933629999999</v>
      </c>
      <c r="W206" s="8">
        <f>Table1[[#This Row],[Revenue]]-Table1[[#This Row],[Shipping costs]]-Table1[[#This Row],[Manufacturing costs]]</f>
        <v>574.385227945</v>
      </c>
    </row>
    <row r="207" spans="1:23" ht="14.25" customHeight="1" x14ac:dyDescent="0.25">
      <c r="A207" s="1" t="s">
        <v>29</v>
      </c>
      <c r="B207" s="1" t="s">
        <v>253</v>
      </c>
      <c r="C207" s="2">
        <v>49.8</v>
      </c>
      <c r="D207" s="1">
        <v>68</v>
      </c>
      <c r="E207" s="1">
        <v>796</v>
      </c>
      <c r="F207" s="1">
        <v>16</v>
      </c>
      <c r="G207" s="1">
        <v>46</v>
      </c>
      <c r="H207" s="1" t="str">
        <f>IF(Table1[[#This Row],[Order quantities]]&gt;Table1[[#This Row],[Availability]], "High Risk", "Low Risk")</f>
        <v>Low Risk</v>
      </c>
      <c r="I207" s="1">
        <v>9</v>
      </c>
      <c r="J207" s="1" t="s">
        <v>43</v>
      </c>
      <c r="K207" s="4">
        <v>2.2357002939999999</v>
      </c>
      <c r="L207" s="1" t="s">
        <v>32</v>
      </c>
      <c r="M207" s="1" t="s">
        <v>55</v>
      </c>
      <c r="N207" s="1">
        <v>18</v>
      </c>
      <c r="O207" s="1">
        <v>847</v>
      </c>
      <c r="P207" s="1">
        <v>10</v>
      </c>
      <c r="Q207" s="4">
        <v>73.980489739999996</v>
      </c>
      <c r="R207" s="1" t="s">
        <v>26</v>
      </c>
      <c r="S207" s="3">
        <v>3.9698326910000001</v>
      </c>
      <c r="T207" s="1" t="s">
        <v>27</v>
      </c>
      <c r="U207" s="1" t="s">
        <v>37</v>
      </c>
      <c r="V207" s="4">
        <v>221.24415780000001</v>
      </c>
      <c r="W207" s="8">
        <f>Table1[[#This Row],[Revenue]]-Table1[[#This Row],[Shipping costs]]-Table1[[#This Row],[Manufacturing costs]]</f>
        <v>145.02796776600002</v>
      </c>
    </row>
    <row r="208" spans="1:23" ht="14.25" customHeight="1" x14ac:dyDescent="0.25">
      <c r="A208" s="1" t="s">
        <v>21</v>
      </c>
      <c r="B208" s="1" t="s">
        <v>254</v>
      </c>
      <c r="C208" s="2">
        <v>44.12</v>
      </c>
      <c r="D208" s="1">
        <v>76</v>
      </c>
      <c r="E208" s="1">
        <v>0</v>
      </c>
      <c r="F208" s="1">
        <v>27</v>
      </c>
      <c r="G208" s="1">
        <v>30</v>
      </c>
      <c r="H208" s="1" t="str">
        <f>IF(Table1[[#This Row],[Order quantities]]&gt;Table1[[#This Row],[Availability]], "High Risk", "Low Risk")</f>
        <v>Low Risk</v>
      </c>
      <c r="I208" s="1">
        <v>4</v>
      </c>
      <c r="J208" s="1" t="s">
        <v>31</v>
      </c>
      <c r="K208" s="4">
        <v>9.5714807719999992</v>
      </c>
      <c r="L208" s="1" t="s">
        <v>41</v>
      </c>
      <c r="M208" s="1" t="s">
        <v>55</v>
      </c>
      <c r="N208" s="1">
        <v>17</v>
      </c>
      <c r="O208" s="1">
        <v>994</v>
      </c>
      <c r="P208" s="1">
        <v>18</v>
      </c>
      <c r="Q208" s="4">
        <v>97.602990950000006</v>
      </c>
      <c r="R208" s="1" t="s">
        <v>34</v>
      </c>
      <c r="S208" s="3">
        <v>3.3511601400000002</v>
      </c>
      <c r="T208" s="1" t="s">
        <v>27</v>
      </c>
      <c r="U208" s="1" t="s">
        <v>28</v>
      </c>
      <c r="V208" s="4">
        <v>235.82438440000001</v>
      </c>
      <c r="W208" s="8">
        <f>Table1[[#This Row],[Revenue]]-Table1[[#This Row],[Shipping costs]]-Table1[[#This Row],[Manufacturing costs]]</f>
        <v>128.64991267800002</v>
      </c>
    </row>
    <row r="209" spans="1:23" ht="14.25" customHeight="1" x14ac:dyDescent="0.25">
      <c r="A209" s="1" t="s">
        <v>29</v>
      </c>
      <c r="B209" s="1" t="s">
        <v>255</v>
      </c>
      <c r="C209" s="2">
        <v>38.14</v>
      </c>
      <c r="D209" s="1">
        <v>80</v>
      </c>
      <c r="E209" s="1">
        <v>118</v>
      </c>
      <c r="F209" s="1">
        <v>11</v>
      </c>
      <c r="G209" s="1">
        <v>57</v>
      </c>
      <c r="H209" s="1" t="str">
        <f>IF(Table1[[#This Row],[Order quantities]]&gt;Table1[[#This Row],[Availability]], "High Risk", "Low Risk")</f>
        <v>Low Risk</v>
      </c>
      <c r="I209" s="1">
        <v>9</v>
      </c>
      <c r="J209" s="1" t="s">
        <v>23</v>
      </c>
      <c r="K209" s="4">
        <v>3.9594035609999998</v>
      </c>
      <c r="L209" s="1" t="s">
        <v>24</v>
      </c>
      <c r="M209" s="1" t="s">
        <v>49</v>
      </c>
      <c r="N209" s="1">
        <v>18</v>
      </c>
      <c r="O209" s="1">
        <v>372</v>
      </c>
      <c r="P209" s="1">
        <v>22</v>
      </c>
      <c r="Q209" s="4">
        <v>81.15107974</v>
      </c>
      <c r="R209" s="1" t="s">
        <v>26</v>
      </c>
      <c r="S209" s="3">
        <v>1.794078236</v>
      </c>
      <c r="T209" s="1" t="s">
        <v>27</v>
      </c>
      <c r="U209" s="1" t="s">
        <v>39</v>
      </c>
      <c r="V209" s="4">
        <v>813.40973899999995</v>
      </c>
      <c r="W209" s="8">
        <f>Table1[[#This Row],[Revenue]]-Table1[[#This Row],[Shipping costs]]-Table1[[#This Row],[Manufacturing costs]]</f>
        <v>728.2992556989999</v>
      </c>
    </row>
    <row r="210" spans="1:23" ht="14.25" customHeight="1" x14ac:dyDescent="0.25">
      <c r="A210" s="1" t="s">
        <v>21</v>
      </c>
      <c r="B210" s="1" t="s">
        <v>256</v>
      </c>
      <c r="C210" s="2">
        <v>93.31</v>
      </c>
      <c r="D210" s="1">
        <v>39</v>
      </c>
      <c r="E210" s="1">
        <v>34</v>
      </c>
      <c r="F210" s="1">
        <v>10</v>
      </c>
      <c r="G210" s="1">
        <v>18</v>
      </c>
      <c r="H210" s="1" t="str">
        <f>IF(Table1[[#This Row],[Order quantities]]&gt;Table1[[#This Row],[Availability]], "High Risk", "Low Risk")</f>
        <v>Low Risk</v>
      </c>
      <c r="I210" s="1">
        <v>6</v>
      </c>
      <c r="J210" s="1" t="s">
        <v>43</v>
      </c>
      <c r="K210" s="4">
        <v>6.9608236489999999</v>
      </c>
      <c r="L210" s="1" t="s">
        <v>38</v>
      </c>
      <c r="M210" s="1" t="s">
        <v>62</v>
      </c>
      <c r="N210" s="1">
        <v>7</v>
      </c>
      <c r="O210" s="1">
        <v>260</v>
      </c>
      <c r="P210" s="1">
        <v>14</v>
      </c>
      <c r="Q210" s="4">
        <v>31.86508255</v>
      </c>
      <c r="R210" s="1" t="s">
        <v>34</v>
      </c>
      <c r="S210" s="3">
        <v>0.93985173</v>
      </c>
      <c r="T210" s="1" t="s">
        <v>35</v>
      </c>
      <c r="U210" s="1" t="s">
        <v>28</v>
      </c>
      <c r="V210" s="4">
        <v>898.80621259999998</v>
      </c>
      <c r="W210" s="8">
        <f>Table1[[#This Row],[Revenue]]-Table1[[#This Row],[Shipping costs]]-Table1[[#This Row],[Manufacturing costs]]</f>
        <v>859.98030640100001</v>
      </c>
    </row>
    <row r="211" spans="1:23" ht="14.25" customHeight="1" x14ac:dyDescent="0.25">
      <c r="A211" s="1" t="s">
        <v>21</v>
      </c>
      <c r="B211" s="1" t="s">
        <v>257</v>
      </c>
      <c r="C211" s="2">
        <v>83.91</v>
      </c>
      <c r="D211" s="1">
        <v>44</v>
      </c>
      <c r="E211" s="1">
        <v>197</v>
      </c>
      <c r="F211" s="1">
        <v>25</v>
      </c>
      <c r="G211" s="1">
        <v>51</v>
      </c>
      <c r="H211" s="1" t="str">
        <f>IF(Table1[[#This Row],[Order quantities]]&gt;Table1[[#This Row],[Availability]], "High Risk", "Low Risk")</f>
        <v>High Risk</v>
      </c>
      <c r="I211" s="1">
        <v>1</v>
      </c>
      <c r="J211" s="1" t="s">
        <v>23</v>
      </c>
      <c r="K211" s="4">
        <v>7.7664263140000003</v>
      </c>
      <c r="L211" s="1" t="s">
        <v>24</v>
      </c>
      <c r="M211" s="1" t="s">
        <v>55</v>
      </c>
      <c r="N211" s="1">
        <v>4</v>
      </c>
      <c r="O211" s="1">
        <v>786</v>
      </c>
      <c r="P211" s="1">
        <v>17</v>
      </c>
      <c r="Q211" s="4">
        <v>91.752873440000002</v>
      </c>
      <c r="R211" s="1" t="s">
        <v>51</v>
      </c>
      <c r="S211" s="3">
        <v>0.48700493700000003</v>
      </c>
      <c r="T211" s="1" t="s">
        <v>47</v>
      </c>
      <c r="U211" s="1" t="s">
        <v>39</v>
      </c>
      <c r="V211" s="4">
        <v>354.71526929999999</v>
      </c>
      <c r="W211" s="8">
        <f>Table1[[#This Row],[Revenue]]-Table1[[#This Row],[Shipping costs]]-Table1[[#This Row],[Manufacturing costs]]</f>
        <v>255.19596954599999</v>
      </c>
    </row>
    <row r="212" spans="1:23" ht="14.25" customHeight="1" x14ac:dyDescent="0.25">
      <c r="A212" s="1" t="s">
        <v>29</v>
      </c>
      <c r="B212" s="1" t="s">
        <v>258</v>
      </c>
      <c r="C212" s="2">
        <v>96.68</v>
      </c>
      <c r="D212" s="1">
        <v>95</v>
      </c>
      <c r="E212" s="1">
        <v>484</v>
      </c>
      <c r="F212" s="1">
        <v>20</v>
      </c>
      <c r="G212" s="1">
        <v>48</v>
      </c>
      <c r="H212" s="1" t="str">
        <f>IF(Table1[[#This Row],[Order quantities]]&gt;Table1[[#This Row],[Availability]], "High Risk", "Low Risk")</f>
        <v>Low Risk</v>
      </c>
      <c r="I212" s="1">
        <v>3</v>
      </c>
      <c r="J212" s="1" t="s">
        <v>43</v>
      </c>
      <c r="K212" s="4">
        <v>8.3075161120000001</v>
      </c>
      <c r="L212" s="1" t="s">
        <v>32</v>
      </c>
      <c r="M212" s="1" t="s">
        <v>55</v>
      </c>
      <c r="N212" s="1">
        <v>26</v>
      </c>
      <c r="O212" s="1">
        <v>977</v>
      </c>
      <c r="P212" s="1">
        <v>27</v>
      </c>
      <c r="Q212" s="4">
        <v>18.379644089999999</v>
      </c>
      <c r="R212" s="1" t="s">
        <v>34</v>
      </c>
      <c r="S212" s="3">
        <v>3.4971575960000001</v>
      </c>
      <c r="T212" s="1" t="s">
        <v>35</v>
      </c>
      <c r="U212" s="1" t="s">
        <v>53</v>
      </c>
      <c r="V212" s="4">
        <v>494.16756759999998</v>
      </c>
      <c r="W212" s="8">
        <f>Table1[[#This Row],[Revenue]]-Table1[[#This Row],[Shipping costs]]-Table1[[#This Row],[Manufacturing costs]]</f>
        <v>467.48040739800001</v>
      </c>
    </row>
    <row r="213" spans="1:23" ht="14.25" customHeight="1" x14ac:dyDescent="0.25">
      <c r="A213" s="1" t="s">
        <v>29</v>
      </c>
      <c r="B213" s="1" t="s">
        <v>259</v>
      </c>
      <c r="C213" s="2">
        <v>74.430000000000007</v>
      </c>
      <c r="D213" s="1">
        <v>92</v>
      </c>
      <c r="E213" s="1">
        <v>58</v>
      </c>
      <c r="F213" s="1">
        <v>12</v>
      </c>
      <c r="G213" s="1">
        <v>96</v>
      </c>
      <c r="H213" s="1" t="str">
        <f>IF(Table1[[#This Row],[Order quantities]]&gt;Table1[[#This Row],[Availability]], "High Risk", "Low Risk")</f>
        <v>High Risk</v>
      </c>
      <c r="I213" s="1">
        <v>9</v>
      </c>
      <c r="J213" s="1" t="s">
        <v>31</v>
      </c>
      <c r="K213" s="4">
        <v>3.8162759319999999</v>
      </c>
      <c r="L213" s="1" t="s">
        <v>38</v>
      </c>
      <c r="M213" s="1" t="s">
        <v>62</v>
      </c>
      <c r="N213" s="1">
        <v>28</v>
      </c>
      <c r="O213" s="1">
        <v>473</v>
      </c>
      <c r="P213" s="1">
        <v>1</v>
      </c>
      <c r="Q213" s="4">
        <v>89.878771700000001</v>
      </c>
      <c r="R213" s="1" t="s">
        <v>26</v>
      </c>
      <c r="S213" s="3">
        <v>4.1496228970000004</v>
      </c>
      <c r="T213" s="1" t="s">
        <v>35</v>
      </c>
      <c r="U213" s="1" t="s">
        <v>53</v>
      </c>
      <c r="V213" s="4">
        <v>165.2923117</v>
      </c>
      <c r="W213" s="8">
        <f>Table1[[#This Row],[Revenue]]-Table1[[#This Row],[Shipping costs]]-Table1[[#This Row],[Manufacturing costs]]</f>
        <v>71.597264068000001</v>
      </c>
    </row>
    <row r="214" spans="1:23" ht="14.25" customHeight="1" x14ac:dyDescent="0.25">
      <c r="A214" s="1" t="s">
        <v>29</v>
      </c>
      <c r="B214" s="1" t="s">
        <v>260</v>
      </c>
      <c r="C214" s="2">
        <v>94.14</v>
      </c>
      <c r="D214" s="1">
        <v>57</v>
      </c>
      <c r="E214" s="1">
        <v>836</v>
      </c>
      <c r="F214" s="1">
        <v>23</v>
      </c>
      <c r="G214" s="1">
        <v>8</v>
      </c>
      <c r="H214" s="1" t="str">
        <f>IF(Table1[[#This Row],[Order quantities]]&gt;Table1[[#This Row],[Availability]], "High Risk", "Low Risk")</f>
        <v>Low Risk</v>
      </c>
      <c r="I214" s="1">
        <v>1</v>
      </c>
      <c r="J214" s="1" t="s">
        <v>31</v>
      </c>
      <c r="K214" s="4">
        <v>8.7265580909999994</v>
      </c>
      <c r="L214" s="1" t="s">
        <v>44</v>
      </c>
      <c r="M214" s="1" t="s">
        <v>46</v>
      </c>
      <c r="N214" s="1">
        <v>23</v>
      </c>
      <c r="O214" s="1">
        <v>832</v>
      </c>
      <c r="P214" s="1">
        <v>5</v>
      </c>
      <c r="Q214" s="4">
        <v>67.713913829999996</v>
      </c>
      <c r="R214" s="1" t="s">
        <v>26</v>
      </c>
      <c r="S214" s="3">
        <v>4.5774485159999996</v>
      </c>
      <c r="T214" s="1" t="s">
        <v>35</v>
      </c>
      <c r="U214" s="1" t="s">
        <v>39</v>
      </c>
      <c r="V214" s="4">
        <v>705.88382139999999</v>
      </c>
      <c r="W214" s="8">
        <f>Table1[[#This Row],[Revenue]]-Table1[[#This Row],[Shipping costs]]-Table1[[#This Row],[Manufacturing costs]]</f>
        <v>629.44334947899995</v>
      </c>
    </row>
    <row r="215" spans="1:23" ht="14.25" customHeight="1" x14ac:dyDescent="0.25">
      <c r="A215" s="1" t="s">
        <v>29</v>
      </c>
      <c r="B215" s="1" t="s">
        <v>261</v>
      </c>
      <c r="C215" s="2">
        <v>22.22</v>
      </c>
      <c r="D215" s="1">
        <v>66</v>
      </c>
      <c r="E215" s="1">
        <v>160</v>
      </c>
      <c r="F215" s="1">
        <v>2</v>
      </c>
      <c r="G215" s="1">
        <v>22</v>
      </c>
      <c r="H215" s="1" t="str">
        <f>IF(Table1[[#This Row],[Order quantities]]&gt;Table1[[#This Row],[Availability]], "High Risk", "Low Risk")</f>
        <v>Low Risk</v>
      </c>
      <c r="I215" s="1">
        <v>9</v>
      </c>
      <c r="J215" s="1" t="s">
        <v>23</v>
      </c>
      <c r="K215" s="4">
        <v>2.1851821309999999</v>
      </c>
      <c r="L215" s="1" t="s">
        <v>24</v>
      </c>
      <c r="M215" s="1" t="s">
        <v>46</v>
      </c>
      <c r="N215" s="1">
        <v>16</v>
      </c>
      <c r="O215" s="1">
        <v>108</v>
      </c>
      <c r="P215" s="1">
        <v>26</v>
      </c>
      <c r="Q215" s="4">
        <v>47.228010830000002</v>
      </c>
      <c r="R215" s="1" t="s">
        <v>37</v>
      </c>
      <c r="S215" s="3">
        <v>4.4116548619999998</v>
      </c>
      <c r="T215" s="1" t="s">
        <v>27</v>
      </c>
      <c r="U215" s="1" t="s">
        <v>28</v>
      </c>
      <c r="V215" s="4">
        <v>842.67364129999999</v>
      </c>
      <c r="W215" s="8">
        <f>Table1[[#This Row],[Revenue]]-Table1[[#This Row],[Shipping costs]]-Table1[[#This Row],[Manufacturing costs]]</f>
        <v>793.26044833899994</v>
      </c>
    </row>
    <row r="216" spans="1:23" ht="14.25" customHeight="1" x14ac:dyDescent="0.25">
      <c r="A216" s="1" t="s">
        <v>21</v>
      </c>
      <c r="B216" s="1" t="s">
        <v>262</v>
      </c>
      <c r="C216" s="2">
        <v>11.32</v>
      </c>
      <c r="D216" s="1">
        <v>55</v>
      </c>
      <c r="E216" s="1">
        <v>690</v>
      </c>
      <c r="F216" s="1">
        <v>24</v>
      </c>
      <c r="G216" s="1">
        <v>6</v>
      </c>
      <c r="H216" s="1" t="str">
        <f>IF(Table1[[#This Row],[Order quantities]]&gt;Table1[[#This Row],[Availability]], "High Risk", "Low Risk")</f>
        <v>Low Risk</v>
      </c>
      <c r="I216" s="1">
        <v>9</v>
      </c>
      <c r="J216" s="1" t="s">
        <v>23</v>
      </c>
      <c r="K216" s="4">
        <v>7.3453681570000002</v>
      </c>
      <c r="L216" s="1" t="s">
        <v>44</v>
      </c>
      <c r="M216" s="1" t="s">
        <v>49</v>
      </c>
      <c r="N216" s="1">
        <v>3</v>
      </c>
      <c r="O216" s="1">
        <v>900</v>
      </c>
      <c r="P216" s="1">
        <v>13</v>
      </c>
      <c r="Q216" s="4">
        <v>36.353158010000001</v>
      </c>
      <c r="R216" s="1" t="s">
        <v>34</v>
      </c>
      <c r="S216" s="3">
        <v>4.9987322340000002</v>
      </c>
      <c r="T216" s="1" t="s">
        <v>35</v>
      </c>
      <c r="U216" s="1" t="s">
        <v>39</v>
      </c>
      <c r="V216" s="4">
        <v>374.39142170000002</v>
      </c>
      <c r="W216" s="8">
        <f>Table1[[#This Row],[Revenue]]-Table1[[#This Row],[Shipping costs]]-Table1[[#This Row],[Manufacturing costs]]</f>
        <v>330.69289553300001</v>
      </c>
    </row>
    <row r="217" spans="1:23" ht="14.25" customHeight="1" x14ac:dyDescent="0.25">
      <c r="A217" s="1" t="s">
        <v>21</v>
      </c>
      <c r="B217" s="1" t="s">
        <v>263</v>
      </c>
      <c r="C217" s="2">
        <v>75.41</v>
      </c>
      <c r="D217" s="1">
        <v>39</v>
      </c>
      <c r="E217" s="1">
        <v>205</v>
      </c>
      <c r="F217" s="1">
        <v>22</v>
      </c>
      <c r="G217" s="1">
        <v>76</v>
      </c>
      <c r="H217" s="1" t="str">
        <f>IF(Table1[[#This Row],[Order quantities]]&gt;Table1[[#This Row],[Availability]], "High Risk", "Low Risk")</f>
        <v>High Risk</v>
      </c>
      <c r="I217" s="1">
        <v>8</v>
      </c>
      <c r="J217" s="1" t="s">
        <v>23</v>
      </c>
      <c r="K217" s="4">
        <v>7.677799566</v>
      </c>
      <c r="L217" s="1" t="s">
        <v>32</v>
      </c>
      <c r="M217" s="1" t="s">
        <v>46</v>
      </c>
      <c r="N217" s="1">
        <v>26</v>
      </c>
      <c r="O217" s="1">
        <v>543</v>
      </c>
      <c r="P217" s="1">
        <v>27</v>
      </c>
      <c r="Q217" s="4">
        <v>43.758946479999999</v>
      </c>
      <c r="R217" s="1" t="s">
        <v>26</v>
      </c>
      <c r="S217" s="3">
        <v>1.295913654</v>
      </c>
      <c r="T217" s="1" t="s">
        <v>27</v>
      </c>
      <c r="U217" s="1" t="s">
        <v>28</v>
      </c>
      <c r="V217" s="4">
        <v>991.15821430000005</v>
      </c>
      <c r="W217" s="8">
        <f>Table1[[#This Row],[Revenue]]-Table1[[#This Row],[Shipping costs]]-Table1[[#This Row],[Manufacturing costs]]</f>
        <v>939.72146825400011</v>
      </c>
    </row>
    <row r="218" spans="1:23" ht="14.25" customHeight="1" x14ac:dyDescent="0.25">
      <c r="A218" s="1" t="s">
        <v>21</v>
      </c>
      <c r="B218" s="1" t="s">
        <v>264</v>
      </c>
      <c r="C218" s="2">
        <v>59.57</v>
      </c>
      <c r="D218" s="1">
        <v>97</v>
      </c>
      <c r="E218" s="1">
        <v>11</v>
      </c>
      <c r="F218" s="1">
        <v>19</v>
      </c>
      <c r="G218" s="1">
        <v>57</v>
      </c>
      <c r="H218" s="1" t="str">
        <f>IF(Table1[[#This Row],[Order quantities]]&gt;Table1[[#This Row],[Availability]], "High Risk", "Low Risk")</f>
        <v>Low Risk</v>
      </c>
      <c r="I218" s="1">
        <v>8</v>
      </c>
      <c r="J218" s="1" t="s">
        <v>31</v>
      </c>
      <c r="K218" s="4">
        <v>7.0995091710000002</v>
      </c>
      <c r="L218" s="1" t="s">
        <v>24</v>
      </c>
      <c r="M218" s="1" t="s">
        <v>55</v>
      </c>
      <c r="N218" s="1">
        <v>18</v>
      </c>
      <c r="O218" s="1">
        <v>212</v>
      </c>
      <c r="P218" s="1">
        <v>25</v>
      </c>
      <c r="Q218" s="4">
        <v>55.804760289999997</v>
      </c>
      <c r="R218" s="1" t="s">
        <v>37</v>
      </c>
      <c r="S218" s="3">
        <v>3.8402073149999998</v>
      </c>
      <c r="T218" s="1" t="s">
        <v>35</v>
      </c>
      <c r="U218" s="1" t="s">
        <v>53</v>
      </c>
      <c r="V218" s="4">
        <v>168.26640159999999</v>
      </c>
      <c r="W218" s="8">
        <f>Table1[[#This Row],[Revenue]]-Table1[[#This Row],[Shipping costs]]-Table1[[#This Row],[Manufacturing costs]]</f>
        <v>105.36213213900001</v>
      </c>
    </row>
    <row r="219" spans="1:23" ht="14.25" customHeight="1" x14ac:dyDescent="0.25">
      <c r="A219" s="1" t="s">
        <v>21</v>
      </c>
      <c r="B219" s="1" t="s">
        <v>265</v>
      </c>
      <c r="C219" s="2">
        <v>84.97</v>
      </c>
      <c r="D219" s="1">
        <v>39</v>
      </c>
      <c r="E219" s="1">
        <v>489</v>
      </c>
      <c r="F219" s="1">
        <v>25</v>
      </c>
      <c r="G219" s="1">
        <v>36</v>
      </c>
      <c r="H219" s="1" t="str">
        <f>IF(Table1[[#This Row],[Order quantities]]&gt;Table1[[#This Row],[Availability]], "High Risk", "Low Risk")</f>
        <v>Low Risk</v>
      </c>
      <c r="I219" s="1">
        <v>1</v>
      </c>
      <c r="J219" s="1" t="s">
        <v>43</v>
      </c>
      <c r="K219" s="4">
        <v>3.2708326250000002</v>
      </c>
      <c r="L219" s="1" t="s">
        <v>32</v>
      </c>
      <c r="M219" s="1" t="s">
        <v>49</v>
      </c>
      <c r="N219" s="1">
        <v>29</v>
      </c>
      <c r="O219" s="1">
        <v>304</v>
      </c>
      <c r="P219" s="1">
        <v>14</v>
      </c>
      <c r="Q219" s="4">
        <v>38.713953689999997</v>
      </c>
      <c r="R219" s="1" t="s">
        <v>34</v>
      </c>
      <c r="S219" s="3">
        <v>2.9736516110000002</v>
      </c>
      <c r="T219" s="1" t="s">
        <v>35</v>
      </c>
      <c r="U219" s="1" t="s">
        <v>39</v>
      </c>
      <c r="V219" s="4">
        <v>695.61164240000005</v>
      </c>
      <c r="W219" s="8">
        <f>Table1[[#This Row],[Revenue]]-Table1[[#This Row],[Shipping costs]]-Table1[[#This Row],[Manufacturing costs]]</f>
        <v>653.62685608499999</v>
      </c>
    </row>
    <row r="220" spans="1:23" ht="14.25" customHeight="1" x14ac:dyDescent="0.25">
      <c r="A220" s="1" t="s">
        <v>114</v>
      </c>
      <c r="B220" s="1" t="s">
        <v>266</v>
      </c>
      <c r="C220" s="2">
        <v>18.28</v>
      </c>
      <c r="D220" s="1">
        <v>90</v>
      </c>
      <c r="E220" s="1">
        <v>275</v>
      </c>
      <c r="F220" s="1">
        <v>5</v>
      </c>
      <c r="G220" s="1">
        <v>79</v>
      </c>
      <c r="H220" s="1" t="str">
        <f>IF(Table1[[#This Row],[Order quantities]]&gt;Table1[[#This Row],[Availability]], "High Risk", "Low Risk")</f>
        <v>Low Risk</v>
      </c>
      <c r="I220" s="1">
        <v>8</v>
      </c>
      <c r="J220" s="1" t="s">
        <v>23</v>
      </c>
      <c r="K220" s="4">
        <v>8.8573883230000003</v>
      </c>
      <c r="L220" s="1" t="s">
        <v>24</v>
      </c>
      <c r="M220" s="1" t="s">
        <v>49</v>
      </c>
      <c r="N220" s="1">
        <v>23</v>
      </c>
      <c r="O220" s="1">
        <v>504</v>
      </c>
      <c r="P220" s="1">
        <v>24</v>
      </c>
      <c r="Q220" s="4">
        <v>97.207107590000007</v>
      </c>
      <c r="R220" s="1" t="s">
        <v>51</v>
      </c>
      <c r="S220" s="3">
        <v>1.3801011489999999</v>
      </c>
      <c r="T220" s="1" t="s">
        <v>35</v>
      </c>
      <c r="U220" s="1" t="s">
        <v>28</v>
      </c>
      <c r="V220" s="4">
        <v>503.40521310000003</v>
      </c>
      <c r="W220" s="8">
        <f>Table1[[#This Row],[Revenue]]-Table1[[#This Row],[Shipping costs]]-Table1[[#This Row],[Manufacturing costs]]</f>
        <v>397.340717187</v>
      </c>
    </row>
    <row r="221" spans="1:23" ht="14.25" customHeight="1" x14ac:dyDescent="0.25">
      <c r="A221" s="1" t="s">
        <v>21</v>
      </c>
      <c r="B221" s="1" t="s">
        <v>267</v>
      </c>
      <c r="C221" s="2">
        <v>80.55</v>
      </c>
      <c r="D221" s="1">
        <v>76</v>
      </c>
      <c r="E221" s="1">
        <v>692</v>
      </c>
      <c r="F221" s="1">
        <v>8</v>
      </c>
      <c r="G221" s="1">
        <v>92</v>
      </c>
      <c r="H221" s="1" t="str">
        <f>IF(Table1[[#This Row],[Order quantities]]&gt;Table1[[#This Row],[Availability]], "High Risk", "Low Risk")</f>
        <v>High Risk</v>
      </c>
      <c r="I221" s="1">
        <v>3</v>
      </c>
      <c r="J221" s="1" t="s">
        <v>23</v>
      </c>
      <c r="K221" s="4">
        <v>2.5197261700000002</v>
      </c>
      <c r="L221" s="1" t="s">
        <v>38</v>
      </c>
      <c r="M221" s="1" t="s">
        <v>33</v>
      </c>
      <c r="N221" s="1">
        <v>21</v>
      </c>
      <c r="O221" s="1">
        <v>797</v>
      </c>
      <c r="P221" s="1">
        <v>3</v>
      </c>
      <c r="Q221" s="4">
        <v>93.976988779999999</v>
      </c>
      <c r="R221" s="1" t="s">
        <v>26</v>
      </c>
      <c r="S221" s="3">
        <v>4.9113360789999998</v>
      </c>
      <c r="T221" s="1" t="s">
        <v>47</v>
      </c>
      <c r="U221" s="1" t="s">
        <v>53</v>
      </c>
      <c r="V221" s="4">
        <v>501.941711</v>
      </c>
      <c r="W221" s="8">
        <f>Table1[[#This Row],[Revenue]]-Table1[[#This Row],[Shipping costs]]-Table1[[#This Row],[Manufacturing costs]]</f>
        <v>405.44499604999999</v>
      </c>
    </row>
    <row r="222" spans="1:23" ht="14.25" customHeight="1" x14ac:dyDescent="0.25">
      <c r="A222" s="1" t="s">
        <v>29</v>
      </c>
      <c r="B222" s="1" t="s">
        <v>268</v>
      </c>
      <c r="C222" s="2">
        <v>24.15</v>
      </c>
      <c r="D222" s="1">
        <v>32</v>
      </c>
      <c r="E222" s="1">
        <v>241</v>
      </c>
      <c r="F222" s="1">
        <v>7</v>
      </c>
      <c r="G222" s="1">
        <v>57</v>
      </c>
      <c r="H222" s="1" t="str">
        <f>IF(Table1[[#This Row],[Order quantities]]&gt;Table1[[#This Row],[Availability]], "High Risk", "Low Risk")</f>
        <v>High Risk</v>
      </c>
      <c r="I222" s="1">
        <v>7</v>
      </c>
      <c r="J222" s="1" t="s">
        <v>31</v>
      </c>
      <c r="K222" s="4">
        <v>1.482713124</v>
      </c>
      <c r="L222" s="1" t="s">
        <v>41</v>
      </c>
      <c r="M222" s="1" t="s">
        <v>49</v>
      </c>
      <c r="N222" s="1">
        <v>14</v>
      </c>
      <c r="O222" s="1">
        <v>952</v>
      </c>
      <c r="P222" s="1">
        <v>15</v>
      </c>
      <c r="Q222" s="4">
        <v>88.36043214</v>
      </c>
      <c r="R222" s="1" t="s">
        <v>34</v>
      </c>
      <c r="S222" s="3">
        <v>4.4997007130000002</v>
      </c>
      <c r="T222" s="1" t="s">
        <v>47</v>
      </c>
      <c r="U222" s="1" t="s">
        <v>53</v>
      </c>
      <c r="V222" s="4">
        <v>511.88105439999998</v>
      </c>
      <c r="W222" s="8">
        <f>Table1[[#This Row],[Revenue]]-Table1[[#This Row],[Shipping costs]]-Table1[[#This Row],[Manufacturing costs]]</f>
        <v>422.037909136</v>
      </c>
    </row>
    <row r="223" spans="1:23" ht="14.25" customHeight="1" x14ac:dyDescent="0.25">
      <c r="A223" s="1" t="s">
        <v>29</v>
      </c>
      <c r="B223" s="1" t="s">
        <v>269</v>
      </c>
      <c r="C223" s="2">
        <v>20.55</v>
      </c>
      <c r="D223" s="1">
        <v>5</v>
      </c>
      <c r="E223" s="1">
        <v>215</v>
      </c>
      <c r="F223" s="1">
        <v>14</v>
      </c>
      <c r="G223" s="1">
        <v>49</v>
      </c>
      <c r="H223" s="1" t="str">
        <f>IF(Table1[[#This Row],[Order quantities]]&gt;Table1[[#This Row],[Availability]], "High Risk", "Low Risk")</f>
        <v>High Risk</v>
      </c>
      <c r="I223" s="1">
        <v>1</v>
      </c>
      <c r="J223" s="1" t="s">
        <v>31</v>
      </c>
      <c r="K223" s="4">
        <v>7.4571849160000001</v>
      </c>
      <c r="L223" s="1" t="s">
        <v>41</v>
      </c>
      <c r="M223" s="1" t="s">
        <v>49</v>
      </c>
      <c r="N223" s="1">
        <v>15</v>
      </c>
      <c r="O223" s="1">
        <v>296</v>
      </c>
      <c r="P223" s="1">
        <v>19</v>
      </c>
      <c r="Q223" s="4">
        <v>47.964685199999998</v>
      </c>
      <c r="R223" s="1" t="s">
        <v>51</v>
      </c>
      <c r="S223" s="3">
        <v>0.72972677500000005</v>
      </c>
      <c r="T223" s="1" t="s">
        <v>35</v>
      </c>
      <c r="U223" s="1" t="s">
        <v>53</v>
      </c>
      <c r="V223" s="4">
        <v>332.81359639999999</v>
      </c>
      <c r="W223" s="8">
        <f>Table1[[#This Row],[Revenue]]-Table1[[#This Row],[Shipping costs]]-Table1[[#This Row],[Manufacturing costs]]</f>
        <v>277.39172628399996</v>
      </c>
    </row>
    <row r="224" spans="1:23" ht="14.25" customHeight="1" x14ac:dyDescent="0.25">
      <c r="A224" s="1" t="s">
        <v>29</v>
      </c>
      <c r="B224" s="1" t="s">
        <v>270</v>
      </c>
      <c r="C224" s="2">
        <v>20.61</v>
      </c>
      <c r="D224" s="1">
        <v>87</v>
      </c>
      <c r="E224" s="1">
        <v>250</v>
      </c>
      <c r="F224" s="1">
        <v>24</v>
      </c>
      <c r="G224" s="1">
        <v>45</v>
      </c>
      <c r="H224" s="1" t="str">
        <f>IF(Table1[[#This Row],[Order quantities]]&gt;Table1[[#This Row],[Availability]], "High Risk", "Low Risk")</f>
        <v>Low Risk</v>
      </c>
      <c r="I224" s="1">
        <v>1</v>
      </c>
      <c r="J224" s="1" t="s">
        <v>23</v>
      </c>
      <c r="K224" s="4">
        <v>5.2792814369999999</v>
      </c>
      <c r="L224" s="1" t="s">
        <v>32</v>
      </c>
      <c r="M224" s="1" t="s">
        <v>46</v>
      </c>
      <c r="N224" s="1">
        <v>17</v>
      </c>
      <c r="O224" s="1">
        <v>877</v>
      </c>
      <c r="P224" s="1">
        <v>17</v>
      </c>
      <c r="Q224" s="4">
        <v>72.217159240000001</v>
      </c>
      <c r="R224" s="1" t="s">
        <v>34</v>
      </c>
      <c r="S224" s="3">
        <v>0.228175877</v>
      </c>
      <c r="T224" s="1" t="s">
        <v>27</v>
      </c>
      <c r="U224" s="1" t="s">
        <v>53</v>
      </c>
      <c r="V224" s="4">
        <v>744.00654459999998</v>
      </c>
      <c r="W224" s="8">
        <f>Table1[[#This Row],[Revenue]]-Table1[[#This Row],[Shipping costs]]-Table1[[#This Row],[Manufacturing costs]]</f>
        <v>666.51010392299997</v>
      </c>
    </row>
    <row r="225" spans="1:23" ht="14.25" customHeight="1" x14ac:dyDescent="0.25">
      <c r="A225" s="1" t="s">
        <v>29</v>
      </c>
      <c r="B225" s="1" t="s">
        <v>271</v>
      </c>
      <c r="C225" s="2">
        <v>82.38</v>
      </c>
      <c r="D225" s="1">
        <v>18</v>
      </c>
      <c r="E225" s="1">
        <v>810</v>
      </c>
      <c r="F225" s="1">
        <v>23</v>
      </c>
      <c r="G225" s="1">
        <v>82</v>
      </c>
      <c r="H225" s="1" t="str">
        <f>IF(Table1[[#This Row],[Order quantities]]&gt;Table1[[#This Row],[Availability]], "High Risk", "Low Risk")</f>
        <v>High Risk</v>
      </c>
      <c r="I225" s="1">
        <v>5</v>
      </c>
      <c r="J225" s="1" t="s">
        <v>43</v>
      </c>
      <c r="K225" s="4">
        <v>8.6418821799999996</v>
      </c>
      <c r="L225" s="1" t="s">
        <v>24</v>
      </c>
      <c r="M225" s="1" t="s">
        <v>46</v>
      </c>
      <c r="N225" s="1">
        <v>1</v>
      </c>
      <c r="O225" s="1">
        <v>873</v>
      </c>
      <c r="P225" s="1">
        <v>30</v>
      </c>
      <c r="Q225" s="4">
        <v>91.254637630000005</v>
      </c>
      <c r="R225" s="1" t="s">
        <v>34</v>
      </c>
      <c r="S225" s="3">
        <v>3.472820735</v>
      </c>
      <c r="T225" s="1" t="s">
        <v>27</v>
      </c>
      <c r="U225" s="1" t="s">
        <v>28</v>
      </c>
      <c r="V225" s="4">
        <v>749.41887350000002</v>
      </c>
      <c r="W225" s="8">
        <f>Table1[[#This Row],[Revenue]]-Table1[[#This Row],[Shipping costs]]-Table1[[#This Row],[Manufacturing costs]]</f>
        <v>649.52235368999993</v>
      </c>
    </row>
    <row r="226" spans="1:23" ht="14.25" customHeight="1" x14ac:dyDescent="0.25">
      <c r="A226" s="1" t="s">
        <v>29</v>
      </c>
      <c r="B226" s="1" t="s">
        <v>272</v>
      </c>
      <c r="C226" s="2">
        <v>68.19</v>
      </c>
      <c r="D226" s="1">
        <v>79</v>
      </c>
      <c r="E226" s="1">
        <v>125</v>
      </c>
      <c r="F226" s="1">
        <v>3</v>
      </c>
      <c r="G226" s="1">
        <v>66</v>
      </c>
      <c r="H226" s="1" t="str">
        <f>IF(Table1[[#This Row],[Order quantities]]&gt;Table1[[#This Row],[Availability]], "High Risk", "Low Risk")</f>
        <v>Low Risk</v>
      </c>
      <c r="I226" s="1">
        <v>5</v>
      </c>
      <c r="J226" s="1" t="s">
        <v>31</v>
      </c>
      <c r="K226" s="4">
        <v>4.4505742699999997</v>
      </c>
      <c r="L226" s="1" t="s">
        <v>24</v>
      </c>
      <c r="M226" s="1" t="s">
        <v>55</v>
      </c>
      <c r="N226" s="1">
        <v>25</v>
      </c>
      <c r="O226" s="1">
        <v>859</v>
      </c>
      <c r="P226" s="1">
        <v>3</v>
      </c>
      <c r="Q226" s="4">
        <v>86.538653890000006</v>
      </c>
      <c r="R226" s="1" t="s">
        <v>34</v>
      </c>
      <c r="S226" s="3">
        <v>3.0602400809999999</v>
      </c>
      <c r="T226" s="1" t="s">
        <v>47</v>
      </c>
      <c r="U226" s="1" t="s">
        <v>39</v>
      </c>
      <c r="V226" s="4">
        <v>354.15739910000002</v>
      </c>
      <c r="W226" s="8">
        <f>Table1[[#This Row],[Revenue]]-Table1[[#This Row],[Shipping costs]]-Table1[[#This Row],[Manufacturing costs]]</f>
        <v>263.16817093999998</v>
      </c>
    </row>
    <row r="227" spans="1:23" ht="14.25" customHeight="1" x14ac:dyDescent="0.25">
      <c r="A227" s="1" t="s">
        <v>29</v>
      </c>
      <c r="B227" s="1" t="s">
        <v>273</v>
      </c>
      <c r="C227" s="2">
        <v>54.69</v>
      </c>
      <c r="D227" s="1">
        <v>39</v>
      </c>
      <c r="E227" s="1">
        <v>993</v>
      </c>
      <c r="F227" s="1">
        <v>18</v>
      </c>
      <c r="G227" s="1">
        <v>77</v>
      </c>
      <c r="H227" s="1" t="str">
        <f>IF(Table1[[#This Row],[Order quantities]]&gt;Table1[[#This Row],[Availability]], "High Risk", "Low Risk")</f>
        <v>High Risk</v>
      </c>
      <c r="I227" s="1">
        <v>8</v>
      </c>
      <c r="J227" s="1" t="s">
        <v>31</v>
      </c>
      <c r="K227" s="4">
        <v>2.5145072970000002</v>
      </c>
      <c r="L227" s="1" t="s">
        <v>41</v>
      </c>
      <c r="M227" s="1" t="s">
        <v>55</v>
      </c>
      <c r="N227" s="1">
        <v>21</v>
      </c>
      <c r="O227" s="1">
        <v>214</v>
      </c>
      <c r="P227" s="1">
        <v>16</v>
      </c>
      <c r="Q227" s="4">
        <v>47.289431260000001</v>
      </c>
      <c r="R227" s="1" t="s">
        <v>34</v>
      </c>
      <c r="S227" s="3">
        <v>4.6854965579999996</v>
      </c>
      <c r="T227" s="1" t="s">
        <v>35</v>
      </c>
      <c r="U227" s="1" t="s">
        <v>28</v>
      </c>
      <c r="V227" s="4">
        <v>851.77581480000003</v>
      </c>
      <c r="W227" s="8">
        <f>Table1[[#This Row],[Revenue]]-Table1[[#This Row],[Shipping costs]]-Table1[[#This Row],[Manufacturing costs]]</f>
        <v>801.971876243</v>
      </c>
    </row>
    <row r="228" spans="1:23" ht="14.25" customHeight="1" x14ac:dyDescent="0.25">
      <c r="A228" s="1" t="s">
        <v>21</v>
      </c>
      <c r="B228" s="1" t="s">
        <v>274</v>
      </c>
      <c r="C228" s="2">
        <v>39.090000000000003</v>
      </c>
      <c r="D228" s="1">
        <v>91</v>
      </c>
      <c r="E228" s="1">
        <v>216</v>
      </c>
      <c r="F228" s="1">
        <v>16</v>
      </c>
      <c r="G228" s="1">
        <v>45</v>
      </c>
      <c r="H228" s="1" t="str">
        <f>IF(Table1[[#This Row],[Order quantities]]&gt;Table1[[#This Row],[Availability]], "High Risk", "Low Risk")</f>
        <v>Low Risk</v>
      </c>
      <c r="I228" s="1">
        <v>7</v>
      </c>
      <c r="J228" s="1" t="s">
        <v>43</v>
      </c>
      <c r="K228" s="4">
        <v>8.5279797320000004</v>
      </c>
      <c r="L228" s="1" t="s">
        <v>38</v>
      </c>
      <c r="M228" s="1" t="s">
        <v>49</v>
      </c>
      <c r="N228" s="1">
        <v>17</v>
      </c>
      <c r="O228" s="1">
        <v>220</v>
      </c>
      <c r="P228" s="1">
        <v>14</v>
      </c>
      <c r="Q228" s="4">
        <v>20.114744439999999</v>
      </c>
      <c r="R228" s="1" t="s">
        <v>26</v>
      </c>
      <c r="S228" s="3">
        <v>1.2466259070000001</v>
      </c>
      <c r="T228" s="1" t="s">
        <v>27</v>
      </c>
      <c r="U228" s="1" t="s">
        <v>28</v>
      </c>
      <c r="V228" s="4">
        <v>385.16044929999998</v>
      </c>
      <c r="W228" s="8">
        <f>Table1[[#This Row],[Revenue]]-Table1[[#This Row],[Shipping costs]]-Table1[[#This Row],[Manufacturing costs]]</f>
        <v>356.517725128</v>
      </c>
    </row>
    <row r="229" spans="1:23" ht="14.25" customHeight="1" x14ac:dyDescent="0.25">
      <c r="A229" s="1" t="s">
        <v>29</v>
      </c>
      <c r="B229" s="1" t="s">
        <v>275</v>
      </c>
      <c r="C229" s="2">
        <v>88.33</v>
      </c>
      <c r="D229" s="1">
        <v>96</v>
      </c>
      <c r="E229" s="1">
        <v>305</v>
      </c>
      <c r="F229" s="1">
        <v>23</v>
      </c>
      <c r="G229" s="1">
        <v>79</v>
      </c>
      <c r="H229" s="1" t="str">
        <f>IF(Table1[[#This Row],[Order quantities]]&gt;Table1[[#This Row],[Availability]], "High Risk", "Low Risk")</f>
        <v>Low Risk</v>
      </c>
      <c r="I229" s="1">
        <v>8</v>
      </c>
      <c r="J229" s="1" t="s">
        <v>23</v>
      </c>
      <c r="K229" s="4">
        <v>5.9401866849999996</v>
      </c>
      <c r="L229" s="1" t="s">
        <v>24</v>
      </c>
      <c r="M229" s="1" t="s">
        <v>62</v>
      </c>
      <c r="N229" s="1">
        <v>23</v>
      </c>
      <c r="O229" s="1">
        <v>752</v>
      </c>
      <c r="P229" s="1">
        <v>12</v>
      </c>
      <c r="Q229" s="4">
        <v>16.806732749999998</v>
      </c>
      <c r="R229" s="1" t="s">
        <v>51</v>
      </c>
      <c r="S229" s="3">
        <v>0.51350094499999999</v>
      </c>
      <c r="T229" s="1" t="s">
        <v>27</v>
      </c>
      <c r="U229" s="1" t="s">
        <v>53</v>
      </c>
      <c r="V229" s="4">
        <v>752.58381159999999</v>
      </c>
      <c r="W229" s="8">
        <f>Table1[[#This Row],[Revenue]]-Table1[[#This Row],[Shipping costs]]-Table1[[#This Row],[Manufacturing costs]]</f>
        <v>729.83689216499999</v>
      </c>
    </row>
    <row r="230" spans="1:23" ht="14.25" customHeight="1" x14ac:dyDescent="0.25">
      <c r="A230" s="1" t="s">
        <v>21</v>
      </c>
      <c r="B230" s="1" t="s">
        <v>276</v>
      </c>
      <c r="C230" s="2">
        <v>42.28</v>
      </c>
      <c r="D230" s="1">
        <v>58</v>
      </c>
      <c r="E230" s="1">
        <v>796</v>
      </c>
      <c r="F230" s="1">
        <v>19</v>
      </c>
      <c r="G230" s="1">
        <v>20</v>
      </c>
      <c r="H230" s="1" t="str">
        <f>IF(Table1[[#This Row],[Order quantities]]&gt;Table1[[#This Row],[Availability]], "High Risk", "Low Risk")</f>
        <v>Low Risk</v>
      </c>
      <c r="I230" s="1">
        <v>6</v>
      </c>
      <c r="J230" s="1" t="s">
        <v>23</v>
      </c>
      <c r="K230" s="4">
        <v>2.7027621320000002</v>
      </c>
      <c r="L230" s="1" t="s">
        <v>44</v>
      </c>
      <c r="M230" s="1" t="s">
        <v>62</v>
      </c>
      <c r="N230" s="1">
        <v>25</v>
      </c>
      <c r="O230" s="1">
        <v>164</v>
      </c>
      <c r="P230" s="1">
        <v>28</v>
      </c>
      <c r="Q230" s="4">
        <v>61.935764069999998</v>
      </c>
      <c r="R230" s="1" t="s">
        <v>26</v>
      </c>
      <c r="S230" s="3">
        <v>1.3701551350000001</v>
      </c>
      <c r="T230" s="1" t="s">
        <v>27</v>
      </c>
      <c r="U230" s="1" t="s">
        <v>28</v>
      </c>
      <c r="V230" s="4">
        <v>208.89979080000001</v>
      </c>
      <c r="W230" s="8">
        <f>Table1[[#This Row],[Revenue]]-Table1[[#This Row],[Shipping costs]]-Table1[[#This Row],[Manufacturing costs]]</f>
        <v>144.261264598</v>
      </c>
    </row>
    <row r="231" spans="1:23" ht="14.25" customHeight="1" x14ac:dyDescent="0.25">
      <c r="A231" s="1" t="s">
        <v>21</v>
      </c>
      <c r="B231" s="1" t="s">
        <v>277</v>
      </c>
      <c r="C231" s="2">
        <v>82.58</v>
      </c>
      <c r="D231" s="1">
        <v>58</v>
      </c>
      <c r="E231" s="1">
        <v>184</v>
      </c>
      <c r="F231" s="1">
        <v>19</v>
      </c>
      <c r="G231" s="1">
        <v>64</v>
      </c>
      <c r="H231" s="1" t="str">
        <f>IF(Table1[[#This Row],[Order quantities]]&gt;Table1[[#This Row],[Availability]], "High Risk", "Low Risk")</f>
        <v>High Risk</v>
      </c>
      <c r="I231" s="1">
        <v>6</v>
      </c>
      <c r="J231" s="1" t="s">
        <v>43</v>
      </c>
      <c r="K231" s="4">
        <v>7.4834559870000001</v>
      </c>
      <c r="L231" s="1" t="s">
        <v>41</v>
      </c>
      <c r="M231" s="1" t="s">
        <v>49</v>
      </c>
      <c r="N231" s="1">
        <v>11</v>
      </c>
      <c r="O231" s="1">
        <v>375</v>
      </c>
      <c r="P231" s="1">
        <v>12</v>
      </c>
      <c r="Q231" s="4">
        <v>67.836514170000001</v>
      </c>
      <c r="R231" s="1" t="s">
        <v>26</v>
      </c>
      <c r="S231" s="3">
        <v>0.19274543899999999</v>
      </c>
      <c r="T231" s="1" t="s">
        <v>27</v>
      </c>
      <c r="U231" s="1" t="s">
        <v>28</v>
      </c>
      <c r="V231" s="4">
        <v>251.8314785</v>
      </c>
      <c r="W231" s="8">
        <f>Table1[[#This Row],[Revenue]]-Table1[[#This Row],[Shipping costs]]-Table1[[#This Row],[Manufacturing costs]]</f>
        <v>176.511508343</v>
      </c>
    </row>
    <row r="232" spans="1:23" ht="14.25" customHeight="1" x14ac:dyDescent="0.25">
      <c r="A232" s="1" t="s">
        <v>29</v>
      </c>
      <c r="B232" s="1" t="s">
        <v>278</v>
      </c>
      <c r="C232" s="2">
        <v>46.72</v>
      </c>
      <c r="D232" s="1">
        <v>47</v>
      </c>
      <c r="E232" s="1">
        <v>38</v>
      </c>
      <c r="F232" s="1">
        <v>18</v>
      </c>
      <c r="G232" s="1">
        <v>93</v>
      </c>
      <c r="H232" s="1" t="str">
        <f>IF(Table1[[#This Row],[Order quantities]]&gt;Table1[[#This Row],[Availability]], "High Risk", "Low Risk")</f>
        <v>High Risk</v>
      </c>
      <c r="I232" s="1">
        <v>2</v>
      </c>
      <c r="J232" s="1" t="s">
        <v>43</v>
      </c>
      <c r="K232" s="4">
        <v>5.6000227459999996</v>
      </c>
      <c r="L232" s="1" t="s">
        <v>24</v>
      </c>
      <c r="M232" s="1" t="s">
        <v>55</v>
      </c>
      <c r="N232" s="1">
        <v>17</v>
      </c>
      <c r="O232" s="1">
        <v>924</v>
      </c>
      <c r="P232" s="1">
        <v>29</v>
      </c>
      <c r="Q232" s="4">
        <v>86.485834409999995</v>
      </c>
      <c r="R232" s="1" t="s">
        <v>51</v>
      </c>
      <c r="S232" s="3">
        <v>0.275874481</v>
      </c>
      <c r="T232" s="1" t="s">
        <v>35</v>
      </c>
      <c r="U232" s="1" t="s">
        <v>39</v>
      </c>
      <c r="V232" s="4">
        <v>384.2160801</v>
      </c>
      <c r="W232" s="8">
        <f>Table1[[#This Row],[Revenue]]-Table1[[#This Row],[Shipping costs]]-Table1[[#This Row],[Manufacturing costs]]</f>
        <v>292.13022294400002</v>
      </c>
    </row>
    <row r="233" spans="1:23" ht="14.25" customHeight="1" x14ac:dyDescent="0.25">
      <c r="A233" s="1" t="s">
        <v>21</v>
      </c>
      <c r="B233" s="1" t="s">
        <v>279</v>
      </c>
      <c r="C233" s="2">
        <v>40.81</v>
      </c>
      <c r="D233" s="1">
        <v>40</v>
      </c>
      <c r="E233" s="1">
        <v>222</v>
      </c>
      <c r="F233" s="1">
        <v>20</v>
      </c>
      <c r="G233" s="1">
        <v>93</v>
      </c>
      <c r="H233" s="1" t="str">
        <f>IF(Table1[[#This Row],[Order quantities]]&gt;Table1[[#This Row],[Availability]], "High Risk", "Low Risk")</f>
        <v>High Risk</v>
      </c>
      <c r="I233" s="1">
        <v>6</v>
      </c>
      <c r="J233" s="1" t="s">
        <v>31</v>
      </c>
      <c r="K233" s="4">
        <v>6.4388168400000003</v>
      </c>
      <c r="L233" s="1" t="s">
        <v>38</v>
      </c>
      <c r="M233" s="1" t="s">
        <v>55</v>
      </c>
      <c r="N233" s="1">
        <v>26</v>
      </c>
      <c r="O233" s="1">
        <v>338</v>
      </c>
      <c r="P233" s="1">
        <v>11</v>
      </c>
      <c r="Q233" s="4">
        <v>36.32635183</v>
      </c>
      <c r="R233" s="1" t="s">
        <v>34</v>
      </c>
      <c r="S233" s="3">
        <v>4.5828032490000004</v>
      </c>
      <c r="T233" s="1" t="s">
        <v>35</v>
      </c>
      <c r="U233" s="1" t="s">
        <v>39</v>
      </c>
      <c r="V233" s="4">
        <v>634.48639089999995</v>
      </c>
      <c r="W233" s="8">
        <f>Table1[[#This Row],[Revenue]]-Table1[[#This Row],[Shipping costs]]-Table1[[#This Row],[Manufacturing costs]]</f>
        <v>591.72122222999997</v>
      </c>
    </row>
    <row r="234" spans="1:23" ht="14.25" customHeight="1" x14ac:dyDescent="0.25">
      <c r="A234" s="1" t="s">
        <v>29</v>
      </c>
      <c r="B234" s="1" t="s">
        <v>280</v>
      </c>
      <c r="C234" s="2">
        <v>48.95</v>
      </c>
      <c r="D234" s="1">
        <v>12</v>
      </c>
      <c r="E234" s="1">
        <v>183</v>
      </c>
      <c r="F234" s="1">
        <v>16</v>
      </c>
      <c r="G234" s="1">
        <v>67</v>
      </c>
      <c r="H234" s="1" t="str">
        <f>IF(Table1[[#This Row],[Order quantities]]&gt;Table1[[#This Row],[Availability]], "High Risk", "Low Risk")</f>
        <v>High Risk</v>
      </c>
      <c r="I234" s="1">
        <v>5</v>
      </c>
      <c r="J234" s="1" t="s">
        <v>43</v>
      </c>
      <c r="K234" s="4">
        <v>5.1480850440000001</v>
      </c>
      <c r="L234" s="1" t="s">
        <v>41</v>
      </c>
      <c r="M234" s="1" t="s">
        <v>62</v>
      </c>
      <c r="N234" s="1">
        <v>14</v>
      </c>
      <c r="O234" s="1">
        <v>401</v>
      </c>
      <c r="P234" s="1">
        <v>17</v>
      </c>
      <c r="Q234" s="4">
        <v>25.072344149999999</v>
      </c>
      <c r="R234" s="1" t="s">
        <v>34</v>
      </c>
      <c r="S234" s="3">
        <v>1.8248812539999999</v>
      </c>
      <c r="T234" s="1" t="s">
        <v>35</v>
      </c>
      <c r="U234" s="1" t="s">
        <v>53</v>
      </c>
      <c r="V234" s="4">
        <v>680.96033690000002</v>
      </c>
      <c r="W234" s="8">
        <f>Table1[[#This Row],[Revenue]]-Table1[[#This Row],[Shipping costs]]-Table1[[#This Row],[Manufacturing costs]]</f>
        <v>650.73990770599994</v>
      </c>
    </row>
    <row r="235" spans="1:23" ht="14.25" customHeight="1" x14ac:dyDescent="0.25">
      <c r="A235" s="1" t="s">
        <v>29</v>
      </c>
      <c r="B235" s="1" t="s">
        <v>281</v>
      </c>
      <c r="C235" s="2">
        <v>33.630000000000003</v>
      </c>
      <c r="D235" s="1">
        <v>44</v>
      </c>
      <c r="E235" s="1">
        <v>494</v>
      </c>
      <c r="F235" s="1">
        <v>8</v>
      </c>
      <c r="G235" s="1">
        <v>83</v>
      </c>
      <c r="H235" s="1" t="str">
        <f>IF(Table1[[#This Row],[Order quantities]]&gt;Table1[[#This Row],[Availability]], "High Risk", "Low Risk")</f>
        <v>High Risk</v>
      </c>
      <c r="I235" s="1">
        <v>3</v>
      </c>
      <c r="J235" s="1" t="s">
        <v>43</v>
      </c>
      <c r="K235" s="4">
        <v>8.4583808539999996</v>
      </c>
      <c r="L235" s="1" t="s">
        <v>44</v>
      </c>
      <c r="M235" s="1" t="s">
        <v>33</v>
      </c>
      <c r="N235" s="1">
        <v>29</v>
      </c>
      <c r="O235" s="1">
        <v>491</v>
      </c>
      <c r="P235" s="1">
        <v>8</v>
      </c>
      <c r="Q235" s="4">
        <v>44.110524990000002</v>
      </c>
      <c r="R235" s="1" t="s">
        <v>26</v>
      </c>
      <c r="S235" s="3">
        <v>2.1129641050000001</v>
      </c>
      <c r="T235" s="1" t="s">
        <v>47</v>
      </c>
      <c r="U235" s="1" t="s">
        <v>28</v>
      </c>
      <c r="V235" s="4">
        <v>456.7205548</v>
      </c>
      <c r="W235" s="8">
        <f>Table1[[#This Row],[Revenue]]-Table1[[#This Row],[Shipping costs]]-Table1[[#This Row],[Manufacturing costs]]</f>
        <v>404.15164895600003</v>
      </c>
    </row>
    <row r="236" spans="1:23" ht="14.25" customHeight="1" x14ac:dyDescent="0.25">
      <c r="A236" s="1" t="s">
        <v>29</v>
      </c>
      <c r="B236" s="1" t="s">
        <v>282</v>
      </c>
      <c r="C236" s="2">
        <v>76.02</v>
      </c>
      <c r="D236" s="1">
        <v>88</v>
      </c>
      <c r="E236" s="1">
        <v>426</v>
      </c>
      <c r="F236" s="1">
        <v>28</v>
      </c>
      <c r="G236" s="1">
        <v>3</v>
      </c>
      <c r="H236" s="1" t="str">
        <f>IF(Table1[[#This Row],[Order quantities]]&gt;Table1[[#This Row],[Availability]], "High Risk", "Low Risk")</f>
        <v>Low Risk</v>
      </c>
      <c r="I236" s="1">
        <v>6</v>
      </c>
      <c r="J236" s="1" t="s">
        <v>43</v>
      </c>
      <c r="K236" s="4">
        <v>8.4660644410000003</v>
      </c>
      <c r="L236" s="1" t="s">
        <v>38</v>
      </c>
      <c r="M236" s="1" t="s">
        <v>49</v>
      </c>
      <c r="N236" s="1">
        <v>20</v>
      </c>
      <c r="O236" s="1">
        <v>621</v>
      </c>
      <c r="P236" s="1">
        <v>17</v>
      </c>
      <c r="Q236" s="4">
        <v>41.821761129999999</v>
      </c>
      <c r="R236" s="1" t="s">
        <v>51</v>
      </c>
      <c r="S236" s="3">
        <v>0.19002110699999999</v>
      </c>
      <c r="T236" s="1" t="s">
        <v>35</v>
      </c>
      <c r="U236" s="1" t="s">
        <v>53</v>
      </c>
      <c r="V236" s="4">
        <v>170.05523779999999</v>
      </c>
      <c r="W236" s="8">
        <f>Table1[[#This Row],[Revenue]]-Table1[[#This Row],[Shipping costs]]-Table1[[#This Row],[Manufacturing costs]]</f>
        <v>119.76741222899997</v>
      </c>
    </row>
    <row r="237" spans="1:23" ht="14.25" customHeight="1" x14ac:dyDescent="0.25">
      <c r="A237" s="1" t="s">
        <v>21</v>
      </c>
      <c r="B237" s="1" t="s">
        <v>283</v>
      </c>
      <c r="C237" s="2">
        <v>52.76</v>
      </c>
      <c r="D237" s="1">
        <v>52</v>
      </c>
      <c r="E237" s="1">
        <v>177</v>
      </c>
      <c r="F237" s="1">
        <v>1</v>
      </c>
      <c r="G237" s="1">
        <v>54</v>
      </c>
      <c r="H237" s="1" t="str">
        <f>IF(Table1[[#This Row],[Order quantities]]&gt;Table1[[#This Row],[Availability]], "High Risk", "Low Risk")</f>
        <v>High Risk</v>
      </c>
      <c r="I237" s="1">
        <v>8</v>
      </c>
      <c r="J237" s="1" t="s">
        <v>43</v>
      </c>
      <c r="K237" s="4">
        <v>7.3844993959999998</v>
      </c>
      <c r="L237" s="1" t="s">
        <v>37</v>
      </c>
      <c r="M237" s="1" t="s">
        <v>62</v>
      </c>
      <c r="N237" s="1">
        <v>30</v>
      </c>
      <c r="O237" s="1">
        <v>468</v>
      </c>
      <c r="P237" s="1">
        <v>21</v>
      </c>
      <c r="Q237" s="4">
        <v>21.922205859999998</v>
      </c>
      <c r="R237" s="1" t="s">
        <v>26</v>
      </c>
      <c r="S237" s="3">
        <v>1.4255567229999999</v>
      </c>
      <c r="T237" s="1" t="s">
        <v>27</v>
      </c>
      <c r="U237" s="1" t="s">
        <v>28</v>
      </c>
      <c r="V237" s="4">
        <v>436.27118689999998</v>
      </c>
      <c r="W237" s="8">
        <f>Table1[[#This Row],[Revenue]]-Table1[[#This Row],[Shipping costs]]-Table1[[#This Row],[Manufacturing costs]]</f>
        <v>406.96448164399993</v>
      </c>
    </row>
    <row r="238" spans="1:23" ht="14.25" customHeight="1" x14ac:dyDescent="0.25">
      <c r="A238" s="1" t="s">
        <v>21</v>
      </c>
      <c r="B238" s="1" t="s">
        <v>284</v>
      </c>
      <c r="C238" s="2">
        <v>27.06</v>
      </c>
      <c r="D238" s="1">
        <v>41</v>
      </c>
      <c r="E238" s="1">
        <v>918</v>
      </c>
      <c r="F238" s="1">
        <v>17</v>
      </c>
      <c r="G238" s="1">
        <v>78</v>
      </c>
      <c r="H238" s="1" t="str">
        <f>IF(Table1[[#This Row],[Order quantities]]&gt;Table1[[#This Row],[Availability]], "High Risk", "Low Risk")</f>
        <v>High Risk</v>
      </c>
      <c r="I238" s="1">
        <v>9</v>
      </c>
      <c r="J238" s="1" t="s">
        <v>31</v>
      </c>
      <c r="K238" s="4">
        <v>1.948612397</v>
      </c>
      <c r="L238" s="1" t="s">
        <v>41</v>
      </c>
      <c r="M238" s="1" t="s">
        <v>49</v>
      </c>
      <c r="N238" s="1">
        <v>19</v>
      </c>
      <c r="O238" s="1">
        <v>332</v>
      </c>
      <c r="P238" s="1">
        <v>25</v>
      </c>
      <c r="Q238" s="4">
        <v>70.505438729999995</v>
      </c>
      <c r="R238" s="1" t="s">
        <v>26</v>
      </c>
      <c r="S238" s="3">
        <v>4.0431573199999997</v>
      </c>
      <c r="T238" s="1" t="s">
        <v>47</v>
      </c>
      <c r="U238" s="1" t="s">
        <v>39</v>
      </c>
      <c r="V238" s="4">
        <v>719.89076439999997</v>
      </c>
      <c r="W238" s="8">
        <f>Table1[[#This Row],[Revenue]]-Table1[[#This Row],[Shipping costs]]-Table1[[#This Row],[Manufacturing costs]]</f>
        <v>647.4367132729999</v>
      </c>
    </row>
    <row r="239" spans="1:23" ht="14.25" customHeight="1" x14ac:dyDescent="0.25">
      <c r="A239" s="1" t="s">
        <v>29</v>
      </c>
      <c r="B239" s="1" t="s">
        <v>285</v>
      </c>
      <c r="C239" s="2">
        <v>90.46</v>
      </c>
      <c r="D239" s="1">
        <v>99</v>
      </c>
      <c r="E239" s="1">
        <v>427</v>
      </c>
      <c r="F239" s="1">
        <v>12</v>
      </c>
      <c r="G239" s="1">
        <v>64</v>
      </c>
      <c r="H239" s="1" t="str">
        <f>IF(Table1[[#This Row],[Order quantities]]&gt;Table1[[#This Row],[Availability]], "High Risk", "Low Risk")</f>
        <v>Low Risk</v>
      </c>
      <c r="I239" s="1">
        <v>1</v>
      </c>
      <c r="J239" s="1" t="s">
        <v>31</v>
      </c>
      <c r="K239" s="4">
        <v>8.5496847569999996</v>
      </c>
      <c r="L239" s="1" t="s">
        <v>38</v>
      </c>
      <c r="M239" s="1" t="s">
        <v>62</v>
      </c>
      <c r="N239" s="1">
        <v>21</v>
      </c>
      <c r="O239" s="1">
        <v>294</v>
      </c>
      <c r="P239" s="1">
        <v>23</v>
      </c>
      <c r="Q239" s="4">
        <v>55.78227467</v>
      </c>
      <c r="R239" s="1" t="s">
        <v>26</v>
      </c>
      <c r="S239" s="3">
        <v>3.1159057020000001</v>
      </c>
      <c r="T239" s="1" t="s">
        <v>47</v>
      </c>
      <c r="U239" s="1" t="s">
        <v>53</v>
      </c>
      <c r="V239" s="4">
        <v>703.89591499999995</v>
      </c>
      <c r="W239" s="8">
        <f>Table1[[#This Row],[Revenue]]-Table1[[#This Row],[Shipping costs]]-Table1[[#This Row],[Manufacturing costs]]</f>
        <v>639.56395557299993</v>
      </c>
    </row>
    <row r="240" spans="1:23" ht="14.25" customHeight="1" x14ac:dyDescent="0.25">
      <c r="A240" s="1" t="s">
        <v>21</v>
      </c>
      <c r="B240" s="1" t="s">
        <v>286</v>
      </c>
      <c r="C240" s="2">
        <v>41.47</v>
      </c>
      <c r="D240" s="1">
        <v>62</v>
      </c>
      <c r="E240" s="1">
        <v>293</v>
      </c>
      <c r="F240" s="1">
        <v>30</v>
      </c>
      <c r="G240" s="1">
        <v>40</v>
      </c>
      <c r="H240" s="1" t="str">
        <f>IF(Table1[[#This Row],[Order quantities]]&gt;Table1[[#This Row],[Availability]], "High Risk", "Low Risk")</f>
        <v>Low Risk</v>
      </c>
      <c r="I240" s="1">
        <v>3</v>
      </c>
      <c r="J240" s="1" t="s">
        <v>31</v>
      </c>
      <c r="K240" s="4">
        <v>7.0391168249999998</v>
      </c>
      <c r="L240" s="1" t="s">
        <v>41</v>
      </c>
      <c r="M240" s="1" t="s">
        <v>55</v>
      </c>
      <c r="N240" s="1">
        <v>7</v>
      </c>
      <c r="O240" s="1">
        <v>111</v>
      </c>
      <c r="P240" s="1">
        <v>20</v>
      </c>
      <c r="Q240" s="4">
        <v>74.90104805</v>
      </c>
      <c r="R240" s="1" t="s">
        <v>34</v>
      </c>
      <c r="S240" s="3">
        <v>3.7935249450000001</v>
      </c>
      <c r="T240" s="1" t="s">
        <v>27</v>
      </c>
      <c r="U240" s="1" t="s">
        <v>53</v>
      </c>
      <c r="V240" s="4">
        <v>244.17677190000001</v>
      </c>
      <c r="W240" s="8">
        <f>Table1[[#This Row],[Revenue]]-Table1[[#This Row],[Shipping costs]]-Table1[[#This Row],[Manufacturing costs]]</f>
        <v>162.23660702500001</v>
      </c>
    </row>
    <row r="241" spans="1:23" ht="14.25" customHeight="1" x14ac:dyDescent="0.25">
      <c r="A241" s="1" t="s">
        <v>29</v>
      </c>
      <c r="B241" s="1" t="s">
        <v>287</v>
      </c>
      <c r="C241" s="2">
        <v>56.64</v>
      </c>
      <c r="D241" s="1">
        <v>26</v>
      </c>
      <c r="E241" s="1">
        <v>851</v>
      </c>
      <c r="F241" s="1">
        <v>21</v>
      </c>
      <c r="G241" s="1">
        <v>59</v>
      </c>
      <c r="H241" s="1" t="str">
        <f>IF(Table1[[#This Row],[Order quantities]]&gt;Table1[[#This Row],[Availability]], "High Risk", "Low Risk")</f>
        <v>High Risk</v>
      </c>
      <c r="I241" s="1">
        <v>3</v>
      </c>
      <c r="J241" s="1" t="s">
        <v>31</v>
      </c>
      <c r="K241" s="4">
        <v>7.2732174939999998</v>
      </c>
      <c r="L241" s="1" t="s">
        <v>24</v>
      </c>
      <c r="M241" s="1" t="s">
        <v>49</v>
      </c>
      <c r="N241" s="1">
        <v>24</v>
      </c>
      <c r="O241" s="1">
        <v>788</v>
      </c>
      <c r="P241" s="1">
        <v>11</v>
      </c>
      <c r="Q241" s="4">
        <v>41.742200820000001</v>
      </c>
      <c r="R241" s="1" t="s">
        <v>26</v>
      </c>
      <c r="S241" s="3">
        <v>2.2913473299999998</v>
      </c>
      <c r="T241" s="1" t="s">
        <v>47</v>
      </c>
      <c r="U241" s="1" t="s">
        <v>28</v>
      </c>
      <c r="V241" s="4">
        <v>107.0055732</v>
      </c>
      <c r="W241" s="8">
        <f>Table1[[#This Row],[Revenue]]-Table1[[#This Row],[Shipping costs]]-Table1[[#This Row],[Manufacturing costs]]</f>
        <v>57.990154886000006</v>
      </c>
    </row>
    <row r="242" spans="1:23" ht="14.25" customHeight="1" x14ac:dyDescent="0.25">
      <c r="A242" s="1" t="s">
        <v>29</v>
      </c>
      <c r="B242" s="1" t="s">
        <v>288</v>
      </c>
      <c r="C242" s="2">
        <v>91.11</v>
      </c>
      <c r="D242" s="1">
        <v>37</v>
      </c>
      <c r="E242" s="1">
        <v>150</v>
      </c>
      <c r="F242" s="1">
        <v>11</v>
      </c>
      <c r="G242" s="1">
        <v>55</v>
      </c>
      <c r="H242" s="1" t="str">
        <f>IF(Table1[[#This Row],[Order quantities]]&gt;Table1[[#This Row],[Availability]], "High Risk", "Low Risk")</f>
        <v>High Risk</v>
      </c>
      <c r="I242" s="1">
        <v>8</v>
      </c>
      <c r="J242" s="1" t="s">
        <v>31</v>
      </c>
      <c r="K242" s="4">
        <v>4.2668455639999996</v>
      </c>
      <c r="L242" s="1" t="s">
        <v>44</v>
      </c>
      <c r="M242" s="1" t="s">
        <v>62</v>
      </c>
      <c r="N242" s="1">
        <v>13</v>
      </c>
      <c r="O242" s="1">
        <v>276</v>
      </c>
      <c r="P242" s="1">
        <v>25</v>
      </c>
      <c r="Q242" s="4">
        <v>39.313199040000001</v>
      </c>
      <c r="R242" s="1" t="s">
        <v>34</v>
      </c>
      <c r="S242" s="3">
        <v>1.6176731870000001</v>
      </c>
      <c r="T242" s="1" t="s">
        <v>27</v>
      </c>
      <c r="U242" s="1" t="s">
        <v>28</v>
      </c>
      <c r="V242" s="4">
        <v>777.6834556</v>
      </c>
      <c r="W242" s="8">
        <f>Table1[[#This Row],[Revenue]]-Table1[[#This Row],[Shipping costs]]-Table1[[#This Row],[Manufacturing costs]]</f>
        <v>734.10341099599998</v>
      </c>
    </row>
    <row r="243" spans="1:23" ht="14.25" customHeight="1" x14ac:dyDescent="0.25">
      <c r="A243" s="1" t="s">
        <v>29</v>
      </c>
      <c r="B243" s="1" t="s">
        <v>289</v>
      </c>
      <c r="C243" s="2">
        <v>64.3</v>
      </c>
      <c r="D243" s="1">
        <v>59</v>
      </c>
      <c r="E243" s="1">
        <v>383</v>
      </c>
      <c r="F243" s="1">
        <v>5</v>
      </c>
      <c r="G243" s="1">
        <v>62</v>
      </c>
      <c r="H243" s="1" t="str">
        <f>IF(Table1[[#This Row],[Order quantities]]&gt;Table1[[#This Row],[Availability]], "High Risk", "Low Risk")</f>
        <v>High Risk</v>
      </c>
      <c r="I243" s="1">
        <v>1</v>
      </c>
      <c r="J243" s="1" t="s">
        <v>37</v>
      </c>
      <c r="K243" s="4">
        <v>8.913516005</v>
      </c>
      <c r="L243" s="1" t="s">
        <v>44</v>
      </c>
      <c r="M243" s="1" t="s">
        <v>46</v>
      </c>
      <c r="N243" s="1">
        <v>18</v>
      </c>
      <c r="O243" s="1">
        <v>316</v>
      </c>
      <c r="P243" s="1">
        <v>25</v>
      </c>
      <c r="Q243" s="4">
        <v>52.531826770000002</v>
      </c>
      <c r="R243" s="1" t="s">
        <v>26</v>
      </c>
      <c r="S243" s="3">
        <v>2.4657694569999999</v>
      </c>
      <c r="T243" s="1" t="s">
        <v>27</v>
      </c>
      <c r="U243" s="1" t="s">
        <v>28</v>
      </c>
      <c r="V243" s="4">
        <v>195.73134970000001</v>
      </c>
      <c r="W243" s="8">
        <f>Table1[[#This Row],[Revenue]]-Table1[[#This Row],[Shipping costs]]-Table1[[#This Row],[Manufacturing costs]]</f>
        <v>134.28600692500001</v>
      </c>
    </row>
    <row r="244" spans="1:23" ht="14.25" customHeight="1" x14ac:dyDescent="0.25">
      <c r="A244" s="1" t="s">
        <v>21</v>
      </c>
      <c r="B244" s="1" t="s">
        <v>290</v>
      </c>
      <c r="C244" s="2">
        <v>16.11</v>
      </c>
      <c r="D244" s="1">
        <v>6</v>
      </c>
      <c r="E244" s="1">
        <v>637</v>
      </c>
      <c r="F244" s="1">
        <v>27</v>
      </c>
      <c r="G244" s="1">
        <v>4</v>
      </c>
      <c r="H244" s="1" t="str">
        <f>IF(Table1[[#This Row],[Order quantities]]&gt;Table1[[#This Row],[Availability]], "High Risk", "Low Risk")</f>
        <v>Low Risk</v>
      </c>
      <c r="I244" s="1">
        <v>5</v>
      </c>
      <c r="J244" s="1" t="s">
        <v>43</v>
      </c>
      <c r="K244" s="4">
        <v>7.5283444020000001</v>
      </c>
      <c r="L244" s="1" t="s">
        <v>38</v>
      </c>
      <c r="M244" s="1" t="s">
        <v>49</v>
      </c>
      <c r="N244" s="1">
        <v>23</v>
      </c>
      <c r="O244" s="1">
        <v>110</v>
      </c>
      <c r="P244" s="1">
        <v>2</v>
      </c>
      <c r="Q244" s="4">
        <v>88.966661090000002</v>
      </c>
      <c r="R244" s="1" t="s">
        <v>34</v>
      </c>
      <c r="S244" s="3">
        <v>1.683048235</v>
      </c>
      <c r="T244" s="1" t="s">
        <v>27</v>
      </c>
      <c r="U244" s="1" t="s">
        <v>53</v>
      </c>
      <c r="V244" s="4">
        <v>174.11422959999999</v>
      </c>
      <c r="W244" s="8">
        <f>Table1[[#This Row],[Revenue]]-Table1[[#This Row],[Shipping costs]]-Table1[[#This Row],[Manufacturing costs]]</f>
        <v>77.619224107999997</v>
      </c>
    </row>
    <row r="245" spans="1:23" ht="14.25" customHeight="1" x14ac:dyDescent="0.25">
      <c r="A245" s="1" t="s">
        <v>21</v>
      </c>
      <c r="B245" s="1" t="s">
        <v>291</v>
      </c>
      <c r="C245" s="2">
        <v>94.28</v>
      </c>
      <c r="D245" s="1">
        <v>4</v>
      </c>
      <c r="E245" s="1">
        <v>812</v>
      </c>
      <c r="F245" s="1">
        <v>12</v>
      </c>
      <c r="G245" s="1">
        <v>60</v>
      </c>
      <c r="H245" s="1" t="str">
        <f>IF(Table1[[#This Row],[Order quantities]]&gt;Table1[[#This Row],[Availability]], "High Risk", "Low Risk")</f>
        <v>High Risk</v>
      </c>
      <c r="I245" s="1">
        <v>3</v>
      </c>
      <c r="J245" s="1" t="s">
        <v>43</v>
      </c>
      <c r="K245" s="4">
        <v>2.0133141989999999</v>
      </c>
      <c r="L245" s="1" t="s">
        <v>38</v>
      </c>
      <c r="M245" s="1" t="s">
        <v>46</v>
      </c>
      <c r="N245" s="1">
        <v>30</v>
      </c>
      <c r="O245" s="1">
        <v>545</v>
      </c>
      <c r="P245" s="1">
        <v>10</v>
      </c>
      <c r="Q245" s="4">
        <v>13.62531761</v>
      </c>
      <c r="R245" s="1" t="s">
        <v>34</v>
      </c>
      <c r="S245" s="3">
        <v>4.2109583739999996</v>
      </c>
      <c r="T245" s="1" t="s">
        <v>35</v>
      </c>
      <c r="U245" s="1" t="s">
        <v>53</v>
      </c>
      <c r="V245" s="4">
        <v>102.4310952</v>
      </c>
      <c r="W245" s="8">
        <f>Table1[[#This Row],[Revenue]]-Table1[[#This Row],[Shipping costs]]-Table1[[#This Row],[Manufacturing costs]]</f>
        <v>86.792463391000013</v>
      </c>
    </row>
    <row r="246" spans="1:23" ht="14.25" customHeight="1" x14ac:dyDescent="0.25">
      <c r="A246" s="1" t="s">
        <v>29</v>
      </c>
      <c r="B246" s="1" t="s">
        <v>292</v>
      </c>
      <c r="C246" s="2">
        <v>64.63</v>
      </c>
      <c r="D246" s="1">
        <v>44</v>
      </c>
      <c r="E246" s="1">
        <v>307</v>
      </c>
      <c r="F246" s="1">
        <v>17</v>
      </c>
      <c r="G246" s="1">
        <v>75</v>
      </c>
      <c r="H246" s="1" t="str">
        <f>IF(Table1[[#This Row],[Order quantities]]&gt;Table1[[#This Row],[Availability]], "High Risk", "Low Risk")</f>
        <v>High Risk</v>
      </c>
      <c r="I246" s="1">
        <v>2</v>
      </c>
      <c r="J246" s="1" t="s">
        <v>23</v>
      </c>
      <c r="K246" s="4">
        <v>4.6700023100000001</v>
      </c>
      <c r="L246" s="1" t="s">
        <v>44</v>
      </c>
      <c r="M246" s="1" t="s">
        <v>62</v>
      </c>
      <c r="N246" s="1">
        <v>14</v>
      </c>
      <c r="O246" s="1">
        <v>729</v>
      </c>
      <c r="P246" s="1">
        <v>10</v>
      </c>
      <c r="Q246" s="4">
        <v>82.434953559999997</v>
      </c>
      <c r="R246" s="1" t="s">
        <v>34</v>
      </c>
      <c r="S246" s="3">
        <v>1.5586012060000001</v>
      </c>
      <c r="T246" s="1" t="s">
        <v>27</v>
      </c>
      <c r="U246" s="1" t="s">
        <v>53</v>
      </c>
      <c r="V246" s="4">
        <v>489.34119340000001</v>
      </c>
      <c r="W246" s="8">
        <f>Table1[[#This Row],[Revenue]]-Table1[[#This Row],[Shipping costs]]-Table1[[#This Row],[Manufacturing costs]]</f>
        <v>402.23623753000004</v>
      </c>
    </row>
    <row r="247" spans="1:23" ht="14.25" customHeight="1" x14ac:dyDescent="0.25">
      <c r="A247" s="1" t="s">
        <v>21</v>
      </c>
      <c r="B247" s="1" t="s">
        <v>293</v>
      </c>
      <c r="C247" s="2">
        <v>36.82</v>
      </c>
      <c r="D247" s="1">
        <v>57</v>
      </c>
      <c r="E247" s="1">
        <v>335</v>
      </c>
      <c r="F247" s="1">
        <v>6</v>
      </c>
      <c r="G247" s="1">
        <v>95</v>
      </c>
      <c r="H247" s="1" t="str">
        <f>IF(Table1[[#This Row],[Order quantities]]&gt;Table1[[#This Row],[Availability]], "High Risk", "Low Risk")</f>
        <v>High Risk</v>
      </c>
      <c r="I247" s="1">
        <v>8</v>
      </c>
      <c r="J247" s="1" t="s">
        <v>37</v>
      </c>
      <c r="K247" s="4">
        <v>8.977423258</v>
      </c>
      <c r="L247" s="1" t="s">
        <v>32</v>
      </c>
      <c r="M247" s="1" t="s">
        <v>55</v>
      </c>
      <c r="N247" s="1">
        <v>1</v>
      </c>
      <c r="O247" s="1">
        <v>263</v>
      </c>
      <c r="P247" s="1">
        <v>11</v>
      </c>
      <c r="Q247" s="4">
        <v>43.20888514</v>
      </c>
      <c r="R247" s="1" t="s">
        <v>34</v>
      </c>
      <c r="S247" s="3">
        <v>3.3328418379999998</v>
      </c>
      <c r="T247" s="1" t="s">
        <v>35</v>
      </c>
      <c r="U247" s="1" t="s">
        <v>28</v>
      </c>
      <c r="V247" s="4">
        <v>552.93751080000004</v>
      </c>
      <c r="W247" s="8">
        <f>Table1[[#This Row],[Revenue]]-Table1[[#This Row],[Shipping costs]]-Table1[[#This Row],[Manufacturing costs]]</f>
        <v>500.75120240199999</v>
      </c>
    </row>
    <row r="248" spans="1:23" ht="14.25" customHeight="1" x14ac:dyDescent="0.25">
      <c r="A248" s="1" t="s">
        <v>21</v>
      </c>
      <c r="B248" s="1" t="s">
        <v>294</v>
      </c>
      <c r="C248" s="2">
        <v>18.23</v>
      </c>
      <c r="D248" s="1">
        <v>30</v>
      </c>
      <c r="E248" s="1">
        <v>945</v>
      </c>
      <c r="F248" s="1">
        <v>1</v>
      </c>
      <c r="G248" s="1">
        <v>96</v>
      </c>
      <c r="H248" s="1" t="str">
        <f>IF(Table1[[#This Row],[Order quantities]]&gt;Table1[[#This Row],[Availability]], "High Risk", "Low Risk")</f>
        <v>High Risk</v>
      </c>
      <c r="I248" s="1">
        <v>3</v>
      </c>
      <c r="J248" s="1" t="s">
        <v>43</v>
      </c>
      <c r="K248" s="4">
        <v>1.424770315</v>
      </c>
      <c r="L248" s="1" t="s">
        <v>32</v>
      </c>
      <c r="M248" s="1" t="s">
        <v>33</v>
      </c>
      <c r="N248" s="1">
        <v>7</v>
      </c>
      <c r="O248" s="1">
        <v>650</v>
      </c>
      <c r="P248" s="1">
        <v>28</v>
      </c>
      <c r="Q248" s="4">
        <v>86.915712319999997</v>
      </c>
      <c r="R248" s="1" t="s">
        <v>34</v>
      </c>
      <c r="S248" s="3">
        <v>0.77121288899999996</v>
      </c>
      <c r="T248" s="1" t="s">
        <v>27</v>
      </c>
      <c r="U248" s="1" t="s">
        <v>28</v>
      </c>
      <c r="V248" s="4">
        <v>673.89764149999996</v>
      </c>
      <c r="W248" s="8">
        <f>Table1[[#This Row],[Revenue]]-Table1[[#This Row],[Shipping costs]]-Table1[[#This Row],[Manufacturing costs]]</f>
        <v>585.55715886499991</v>
      </c>
    </row>
    <row r="249" spans="1:23" ht="14.25" customHeight="1" x14ac:dyDescent="0.25">
      <c r="A249" s="1" t="s">
        <v>29</v>
      </c>
      <c r="B249" s="1" t="s">
        <v>295</v>
      </c>
      <c r="C249" s="2">
        <v>80.430000000000007</v>
      </c>
      <c r="D249" s="1">
        <v>22</v>
      </c>
      <c r="E249" s="1">
        <v>745</v>
      </c>
      <c r="F249" s="1">
        <v>5</v>
      </c>
      <c r="G249" s="1">
        <v>91</v>
      </c>
      <c r="H249" s="1" t="str">
        <f>IF(Table1[[#This Row],[Order quantities]]&gt;Table1[[#This Row],[Availability]], "High Risk", "Low Risk")</f>
        <v>High Risk</v>
      </c>
      <c r="I249" s="1">
        <v>7</v>
      </c>
      <c r="J249" s="1" t="s">
        <v>23</v>
      </c>
      <c r="K249" s="4">
        <v>9.6527495769999998</v>
      </c>
      <c r="L249" s="1" t="s">
        <v>38</v>
      </c>
      <c r="M249" s="1" t="s">
        <v>55</v>
      </c>
      <c r="N249" s="1">
        <v>8</v>
      </c>
      <c r="O249" s="1">
        <v>152</v>
      </c>
      <c r="P249" s="1">
        <v>6</v>
      </c>
      <c r="Q249" s="4">
        <v>82.198270800000003</v>
      </c>
      <c r="R249" s="1" t="s">
        <v>34</v>
      </c>
      <c r="S249" s="3">
        <v>3.4656458190000001</v>
      </c>
      <c r="T249" s="1" t="s">
        <v>35</v>
      </c>
      <c r="U249" s="1" t="s">
        <v>28</v>
      </c>
      <c r="V249" s="4">
        <v>366.4574566</v>
      </c>
      <c r="W249" s="8">
        <f>Table1[[#This Row],[Revenue]]-Table1[[#This Row],[Shipping costs]]-Table1[[#This Row],[Manufacturing costs]]</f>
        <v>274.606436223</v>
      </c>
    </row>
    <row r="250" spans="1:23" ht="14.25" customHeight="1" x14ac:dyDescent="0.25">
      <c r="A250" s="1" t="s">
        <v>29</v>
      </c>
      <c r="B250" s="1" t="s">
        <v>296</v>
      </c>
      <c r="C250" s="2">
        <v>63.91</v>
      </c>
      <c r="D250" s="1">
        <v>41</v>
      </c>
      <c r="E250" s="1">
        <v>891</v>
      </c>
      <c r="F250" s="1">
        <v>25</v>
      </c>
      <c r="G250" s="1">
        <v>30</v>
      </c>
      <c r="H250" s="1" t="str">
        <f>IF(Table1[[#This Row],[Order quantities]]&gt;Table1[[#This Row],[Availability]], "High Risk", "Low Risk")</f>
        <v>Low Risk</v>
      </c>
      <c r="I250" s="1">
        <v>1</v>
      </c>
      <c r="J250" s="1" t="s">
        <v>43</v>
      </c>
      <c r="K250" s="4">
        <v>7.1124631149999997</v>
      </c>
      <c r="L250" s="1" t="s">
        <v>44</v>
      </c>
      <c r="M250" s="1" t="s">
        <v>49</v>
      </c>
      <c r="N250" s="1">
        <v>18</v>
      </c>
      <c r="O250" s="1">
        <v>317</v>
      </c>
      <c r="P250" s="1">
        <v>4</v>
      </c>
      <c r="Q250" s="4">
        <v>41.38851227</v>
      </c>
      <c r="R250" s="1" t="s">
        <v>34</v>
      </c>
      <c r="S250" s="3">
        <v>4.5751685870000003</v>
      </c>
      <c r="T250" s="1" t="s">
        <v>35</v>
      </c>
      <c r="U250" s="1" t="s">
        <v>53</v>
      </c>
      <c r="V250" s="4">
        <v>739.3822447</v>
      </c>
      <c r="W250" s="8">
        <f>Table1[[#This Row],[Revenue]]-Table1[[#This Row],[Shipping costs]]-Table1[[#This Row],[Manufacturing costs]]</f>
        <v>690.88126931500005</v>
      </c>
    </row>
    <row r="251" spans="1:23" ht="14.25" customHeight="1" x14ac:dyDescent="0.25">
      <c r="A251" s="1" t="s">
        <v>29</v>
      </c>
      <c r="B251" s="1" t="s">
        <v>297</v>
      </c>
      <c r="C251" s="2">
        <v>55.68</v>
      </c>
      <c r="D251" s="1">
        <v>9</v>
      </c>
      <c r="E251" s="1">
        <v>374</v>
      </c>
      <c r="F251" s="1">
        <v>28</v>
      </c>
      <c r="G251" s="1">
        <v>2</v>
      </c>
      <c r="H251" s="1" t="str">
        <f>IF(Table1[[#This Row],[Order quantities]]&gt;Table1[[#This Row],[Availability]], "High Risk", "Low Risk")</f>
        <v>Low Risk</v>
      </c>
      <c r="I251" s="1">
        <v>6</v>
      </c>
      <c r="J251" s="1" t="s">
        <v>31</v>
      </c>
      <c r="K251" s="4">
        <v>6.6823837990000001</v>
      </c>
      <c r="L251" s="1" t="s">
        <v>32</v>
      </c>
      <c r="M251" s="1" t="s">
        <v>55</v>
      </c>
      <c r="N251" s="1">
        <v>9</v>
      </c>
      <c r="O251" s="1">
        <v>817</v>
      </c>
      <c r="P251" s="1">
        <v>24</v>
      </c>
      <c r="Q251" s="4">
        <v>72.448888179999997</v>
      </c>
      <c r="R251" s="1" t="s">
        <v>26</v>
      </c>
      <c r="S251" s="3">
        <v>3.082057458</v>
      </c>
      <c r="T251" s="1" t="s">
        <v>35</v>
      </c>
      <c r="U251" s="1" t="s">
        <v>28</v>
      </c>
      <c r="V251" s="4">
        <v>252.39867169999999</v>
      </c>
      <c r="W251" s="8">
        <f>Table1[[#This Row],[Revenue]]-Table1[[#This Row],[Shipping costs]]-Table1[[#This Row],[Manufacturing costs]]</f>
        <v>173.267399721</v>
      </c>
    </row>
    <row r="252" spans="1:23" ht="14.25" customHeight="1" x14ac:dyDescent="0.25">
      <c r="A252" s="1" t="s">
        <v>29</v>
      </c>
      <c r="B252" s="1" t="s">
        <v>298</v>
      </c>
      <c r="C252" s="2">
        <v>89.92</v>
      </c>
      <c r="D252" s="1">
        <v>31</v>
      </c>
      <c r="E252" s="1">
        <v>7</v>
      </c>
      <c r="F252" s="1">
        <v>14</v>
      </c>
      <c r="G252" s="1">
        <v>62</v>
      </c>
      <c r="H252" s="1" t="str">
        <f>IF(Table1[[#This Row],[Order quantities]]&gt;Table1[[#This Row],[Availability]], "High Risk", "Low Risk")</f>
        <v>High Risk</v>
      </c>
      <c r="I252" s="1">
        <v>3</v>
      </c>
      <c r="J252" s="1" t="s">
        <v>43</v>
      </c>
      <c r="K252" s="4">
        <v>3.435033308</v>
      </c>
      <c r="L252" s="1" t="s">
        <v>41</v>
      </c>
      <c r="M252" s="1" t="s">
        <v>46</v>
      </c>
      <c r="N252" s="1">
        <v>1</v>
      </c>
      <c r="O252" s="1">
        <v>923</v>
      </c>
      <c r="P252" s="1">
        <v>12</v>
      </c>
      <c r="Q252" s="4">
        <v>24.366948109999999</v>
      </c>
      <c r="R252" s="1" t="s">
        <v>26</v>
      </c>
      <c r="S252" s="3">
        <v>2.843291362</v>
      </c>
      <c r="T252" s="1" t="s">
        <v>35</v>
      </c>
      <c r="U252" s="1" t="s">
        <v>28</v>
      </c>
      <c r="V252" s="4">
        <v>848.7910478</v>
      </c>
      <c r="W252" s="8">
        <f>Table1[[#This Row],[Revenue]]-Table1[[#This Row],[Shipping costs]]-Table1[[#This Row],[Manufacturing costs]]</f>
        <v>820.98906638200003</v>
      </c>
    </row>
    <row r="253" spans="1:23" ht="14.25" customHeight="1" x14ac:dyDescent="0.25">
      <c r="A253" s="1" t="s">
        <v>21</v>
      </c>
      <c r="B253" s="1" t="s">
        <v>299</v>
      </c>
      <c r="C253" s="2">
        <v>79.92</v>
      </c>
      <c r="D253" s="1">
        <v>52</v>
      </c>
      <c r="E253" s="1">
        <v>340</v>
      </c>
      <c r="F253" s="1">
        <v>5</v>
      </c>
      <c r="G253" s="1">
        <v>49</v>
      </c>
      <c r="H253" s="1" t="str">
        <f>IF(Table1[[#This Row],[Order quantities]]&gt;Table1[[#This Row],[Availability]], "High Risk", "Low Risk")</f>
        <v>Low Risk</v>
      </c>
      <c r="I253" s="1">
        <v>8</v>
      </c>
      <c r="J253" s="1" t="s">
        <v>23</v>
      </c>
      <c r="K253" s="4">
        <v>3.2391260989999999</v>
      </c>
      <c r="L253" s="1" t="s">
        <v>32</v>
      </c>
      <c r="M253" s="1" t="s">
        <v>33</v>
      </c>
      <c r="N253" s="1">
        <v>29</v>
      </c>
      <c r="O253" s="1">
        <v>459</v>
      </c>
      <c r="P253" s="1">
        <v>11</v>
      </c>
      <c r="Q253" s="4">
        <v>90.665339700000004</v>
      </c>
      <c r="R253" s="1" t="s">
        <v>26</v>
      </c>
      <c r="S253" s="3">
        <v>4.8094795130000003</v>
      </c>
      <c r="T253" s="1" t="s">
        <v>27</v>
      </c>
      <c r="U253" s="1" t="s">
        <v>39</v>
      </c>
      <c r="V253" s="4">
        <v>614.66349600000001</v>
      </c>
      <c r="W253" s="8">
        <f>Table1[[#This Row],[Revenue]]-Table1[[#This Row],[Shipping costs]]-Table1[[#This Row],[Manufacturing costs]]</f>
        <v>520.75903020099997</v>
      </c>
    </row>
    <row r="254" spans="1:23" ht="14.25" customHeight="1" x14ac:dyDescent="0.25">
      <c r="A254" s="1" t="s">
        <v>29</v>
      </c>
      <c r="B254" s="1" t="s">
        <v>300</v>
      </c>
      <c r="C254" s="2">
        <v>19.41</v>
      </c>
      <c r="D254" s="1">
        <v>29</v>
      </c>
      <c r="E254" s="1">
        <v>128</v>
      </c>
      <c r="F254" s="1">
        <v>22</v>
      </c>
      <c r="G254" s="1">
        <v>9</v>
      </c>
      <c r="H254" s="1" t="str">
        <f>IF(Table1[[#This Row],[Order quantities]]&gt;Table1[[#This Row],[Availability]], "High Risk", "Low Risk")</f>
        <v>Low Risk</v>
      </c>
      <c r="I254" s="1">
        <v>6</v>
      </c>
      <c r="J254" s="1" t="s">
        <v>23</v>
      </c>
      <c r="K254" s="4">
        <v>9.4785239749999999</v>
      </c>
      <c r="L254" s="1" t="s">
        <v>38</v>
      </c>
      <c r="M254" s="1" t="s">
        <v>62</v>
      </c>
      <c r="N254" s="1">
        <v>22</v>
      </c>
      <c r="O254" s="1">
        <v>484</v>
      </c>
      <c r="P254" s="1">
        <v>23</v>
      </c>
      <c r="Q254" s="4">
        <v>46.404195799999997</v>
      </c>
      <c r="R254" s="1" t="s">
        <v>51</v>
      </c>
      <c r="S254" s="3">
        <v>3.1742431209999999</v>
      </c>
      <c r="T254" s="1" t="s">
        <v>47</v>
      </c>
      <c r="U254" s="1" t="s">
        <v>53</v>
      </c>
      <c r="V254" s="4">
        <v>625.50084100000004</v>
      </c>
      <c r="W254" s="8">
        <f>Table1[[#This Row],[Revenue]]-Table1[[#This Row],[Shipping costs]]-Table1[[#This Row],[Manufacturing costs]]</f>
        <v>569.61812122499998</v>
      </c>
    </row>
    <row r="255" spans="1:23" ht="14.25" customHeight="1" x14ac:dyDescent="0.25">
      <c r="A255" s="1" t="s">
        <v>114</v>
      </c>
      <c r="B255" s="1" t="s">
        <v>301</v>
      </c>
      <c r="C255" s="2">
        <v>34.61</v>
      </c>
      <c r="D255" s="1">
        <v>38</v>
      </c>
      <c r="E255" s="1">
        <v>775</v>
      </c>
      <c r="F255" s="1">
        <v>24</v>
      </c>
      <c r="G255" s="1">
        <v>92</v>
      </c>
      <c r="H255" s="1" t="str">
        <f>IF(Table1[[#This Row],[Order quantities]]&gt;Table1[[#This Row],[Availability]], "High Risk", "Low Risk")</f>
        <v>High Risk</v>
      </c>
      <c r="I255" s="1">
        <v>2</v>
      </c>
      <c r="J255" s="1" t="s">
        <v>31</v>
      </c>
      <c r="K255" s="4">
        <v>3.684452088</v>
      </c>
      <c r="L255" s="1" t="s">
        <v>32</v>
      </c>
      <c r="M255" s="1" t="s">
        <v>46</v>
      </c>
      <c r="N255" s="1">
        <v>17</v>
      </c>
      <c r="O255" s="1">
        <v>155</v>
      </c>
      <c r="P255" s="1">
        <v>23</v>
      </c>
      <c r="Q255" s="4">
        <v>51.006305380000001</v>
      </c>
      <c r="R255" s="1" t="s">
        <v>51</v>
      </c>
      <c r="S255" s="3">
        <v>1.3717971229999999</v>
      </c>
      <c r="T255" s="1" t="s">
        <v>47</v>
      </c>
      <c r="U255" s="1" t="s">
        <v>53</v>
      </c>
      <c r="V255" s="4">
        <v>288.79787240000002</v>
      </c>
      <c r="W255" s="8">
        <f>Table1[[#This Row],[Revenue]]-Table1[[#This Row],[Shipping costs]]-Table1[[#This Row],[Manufacturing costs]]</f>
        <v>234.107114932</v>
      </c>
    </row>
    <row r="256" spans="1:23" ht="14.25" customHeight="1" x14ac:dyDescent="0.25">
      <c r="A256" s="1" t="s">
        <v>21</v>
      </c>
      <c r="B256" s="1" t="s">
        <v>302</v>
      </c>
      <c r="C256" s="2">
        <v>28.61</v>
      </c>
      <c r="D256" s="1">
        <v>30</v>
      </c>
      <c r="E256" s="1">
        <v>668</v>
      </c>
      <c r="F256" s="1">
        <v>27</v>
      </c>
      <c r="G256" s="1">
        <v>31</v>
      </c>
      <c r="H256" s="1" t="str">
        <f>IF(Table1[[#This Row],[Order quantities]]&gt;Table1[[#This Row],[Availability]], "High Risk", "Low Risk")</f>
        <v>High Risk</v>
      </c>
      <c r="I256" s="1">
        <v>6</v>
      </c>
      <c r="J256" s="1" t="s">
        <v>31</v>
      </c>
      <c r="K256" s="4">
        <v>7.9795476699999996</v>
      </c>
      <c r="L256" s="1" t="s">
        <v>24</v>
      </c>
      <c r="M256" s="1" t="s">
        <v>55</v>
      </c>
      <c r="N256" s="1">
        <v>19</v>
      </c>
      <c r="O256" s="1">
        <v>217</v>
      </c>
      <c r="P256" s="1">
        <v>27</v>
      </c>
      <c r="Q256" s="4">
        <v>73.518314590000003</v>
      </c>
      <c r="R256" s="1" t="s">
        <v>34</v>
      </c>
      <c r="S256" s="3">
        <v>1.532716017</v>
      </c>
      <c r="T256" s="1" t="s">
        <v>27</v>
      </c>
      <c r="U256" s="1" t="s">
        <v>28</v>
      </c>
      <c r="V256" s="4">
        <v>166.69787439999999</v>
      </c>
      <c r="W256" s="8">
        <f>Table1[[#This Row],[Revenue]]-Table1[[#This Row],[Shipping costs]]-Table1[[#This Row],[Manufacturing costs]]</f>
        <v>85.200012139999998</v>
      </c>
    </row>
    <row r="257" spans="1:23" ht="14.25" customHeight="1" x14ac:dyDescent="0.25">
      <c r="A257" s="1" t="s">
        <v>29</v>
      </c>
      <c r="B257" s="1" t="s">
        <v>303</v>
      </c>
      <c r="C257" s="2">
        <v>75.67</v>
      </c>
      <c r="D257" s="1">
        <v>81</v>
      </c>
      <c r="E257" s="1">
        <v>351</v>
      </c>
      <c r="F257" s="1">
        <v>1</v>
      </c>
      <c r="G257" s="1">
        <v>98</v>
      </c>
      <c r="H257" s="1" t="str">
        <f>IF(Table1[[#This Row],[Order quantities]]&gt;Table1[[#This Row],[Availability]], "High Risk", "Low Risk")</f>
        <v>High Risk</v>
      </c>
      <c r="I257" s="1">
        <v>7</v>
      </c>
      <c r="J257" s="1" t="s">
        <v>43</v>
      </c>
      <c r="K257" s="4">
        <v>4.5380961839999996</v>
      </c>
      <c r="L257" s="1" t="s">
        <v>32</v>
      </c>
      <c r="M257" s="1" t="s">
        <v>49</v>
      </c>
      <c r="N257" s="1">
        <v>27</v>
      </c>
      <c r="O257" s="1">
        <v>999</v>
      </c>
      <c r="P257" s="1">
        <v>26</v>
      </c>
      <c r="Q257" s="4">
        <v>83.875621300000006</v>
      </c>
      <c r="R257" s="1" t="s">
        <v>34</v>
      </c>
      <c r="S257" s="3">
        <v>3.5560025479999999</v>
      </c>
      <c r="T257" s="1" t="s">
        <v>27</v>
      </c>
      <c r="U257" s="1" t="s">
        <v>28</v>
      </c>
      <c r="V257" s="4">
        <v>518.2523228</v>
      </c>
      <c r="W257" s="8">
        <f>Table1[[#This Row],[Revenue]]-Table1[[#This Row],[Shipping costs]]-Table1[[#This Row],[Manufacturing costs]]</f>
        <v>429.83860531599998</v>
      </c>
    </row>
    <row r="258" spans="1:23" ht="14.25" customHeight="1" x14ac:dyDescent="0.25">
      <c r="A258" s="1" t="s">
        <v>29</v>
      </c>
      <c r="B258" s="1" t="s">
        <v>304</v>
      </c>
      <c r="C258" s="2">
        <v>8.19</v>
      </c>
      <c r="D258" s="1">
        <v>99</v>
      </c>
      <c r="E258" s="1">
        <v>357</v>
      </c>
      <c r="F258" s="1">
        <v>30</v>
      </c>
      <c r="G258" s="1">
        <v>61</v>
      </c>
      <c r="H258" s="1" t="str">
        <f>IF(Table1[[#This Row],[Order quantities]]&gt;Table1[[#This Row],[Availability]], "High Risk", "Low Risk")</f>
        <v>Low Risk</v>
      </c>
      <c r="I258" s="1">
        <v>5</v>
      </c>
      <c r="J258" s="1" t="s">
        <v>31</v>
      </c>
      <c r="K258" s="4">
        <v>2.253286637</v>
      </c>
      <c r="L258" s="1" t="s">
        <v>24</v>
      </c>
      <c r="M258" s="1" t="s">
        <v>33</v>
      </c>
      <c r="N258" s="1">
        <v>6</v>
      </c>
      <c r="O258" s="1">
        <v>352</v>
      </c>
      <c r="P258" s="1">
        <v>25</v>
      </c>
      <c r="Q258" s="4">
        <v>31.270846899999999</v>
      </c>
      <c r="R258" s="1" t="s">
        <v>51</v>
      </c>
      <c r="S258" s="3">
        <v>3.7036393099999998</v>
      </c>
      <c r="T258" s="1" t="s">
        <v>35</v>
      </c>
      <c r="U258" s="1" t="s">
        <v>39</v>
      </c>
      <c r="V258" s="4">
        <v>654.05075669999997</v>
      </c>
      <c r="W258" s="8">
        <f>Table1[[#This Row],[Revenue]]-Table1[[#This Row],[Shipping costs]]-Table1[[#This Row],[Manufacturing costs]]</f>
        <v>620.52662316299995</v>
      </c>
    </row>
    <row r="259" spans="1:23" ht="14.25" customHeight="1" x14ac:dyDescent="0.25">
      <c r="A259" s="1" t="s">
        <v>29</v>
      </c>
      <c r="B259" s="1" t="s">
        <v>305</v>
      </c>
      <c r="C259" s="2">
        <v>59.14</v>
      </c>
      <c r="D259" s="1">
        <v>1</v>
      </c>
      <c r="E259" s="1">
        <v>516</v>
      </c>
      <c r="F259" s="1">
        <v>18</v>
      </c>
      <c r="G259" s="1">
        <v>79</v>
      </c>
      <c r="H259" s="1" t="str">
        <f>IF(Table1[[#This Row],[Order quantities]]&gt;Table1[[#This Row],[Availability]], "High Risk", "Low Risk")</f>
        <v>High Risk</v>
      </c>
      <c r="I259" s="1">
        <v>3</v>
      </c>
      <c r="J259" s="1" t="s">
        <v>43</v>
      </c>
      <c r="K259" s="4">
        <v>1.0964376790000001</v>
      </c>
      <c r="L259" s="1" t="s">
        <v>41</v>
      </c>
      <c r="M259" s="1" t="s">
        <v>62</v>
      </c>
      <c r="N259" s="1">
        <v>3</v>
      </c>
      <c r="O259" s="1">
        <v>897</v>
      </c>
      <c r="P259" s="1">
        <v>13</v>
      </c>
      <c r="Q259" s="4">
        <v>69.52151259</v>
      </c>
      <c r="R259" s="1" t="s">
        <v>51</v>
      </c>
      <c r="S259" s="3">
        <v>1.587131536</v>
      </c>
      <c r="T259" s="1" t="s">
        <v>47</v>
      </c>
      <c r="U259" s="1" t="s">
        <v>39</v>
      </c>
      <c r="V259" s="4">
        <v>185.5418128</v>
      </c>
      <c r="W259" s="8">
        <f>Table1[[#This Row],[Revenue]]-Table1[[#This Row],[Shipping costs]]-Table1[[#This Row],[Manufacturing costs]]</f>
        <v>114.92386253100001</v>
      </c>
    </row>
    <row r="260" spans="1:23" ht="14.25" customHeight="1" x14ac:dyDescent="0.25">
      <c r="A260" s="1" t="s">
        <v>29</v>
      </c>
      <c r="B260" s="1" t="s">
        <v>306</v>
      </c>
      <c r="C260" s="2">
        <v>77.430000000000007</v>
      </c>
      <c r="D260" s="1">
        <v>77</v>
      </c>
      <c r="E260" s="1">
        <v>494</v>
      </c>
      <c r="F260" s="1">
        <v>16</v>
      </c>
      <c r="G260" s="1">
        <v>48</v>
      </c>
      <c r="H260" s="1" t="str">
        <f>IF(Table1[[#This Row],[Order quantities]]&gt;Table1[[#This Row],[Availability]], "High Risk", "Low Risk")</f>
        <v>Low Risk</v>
      </c>
      <c r="I260" s="1">
        <v>4</v>
      </c>
      <c r="J260" s="1" t="s">
        <v>23</v>
      </c>
      <c r="K260" s="4">
        <v>5.8983160330000004</v>
      </c>
      <c r="L260" s="1" t="s">
        <v>32</v>
      </c>
      <c r="M260" s="1" t="s">
        <v>55</v>
      </c>
      <c r="N260" s="1">
        <v>24</v>
      </c>
      <c r="O260" s="1">
        <v>879</v>
      </c>
      <c r="P260" s="1">
        <v>5</v>
      </c>
      <c r="Q260" s="4">
        <v>45.279823950000001</v>
      </c>
      <c r="R260" s="1" t="s">
        <v>37</v>
      </c>
      <c r="S260" s="3">
        <v>1.792185492</v>
      </c>
      <c r="T260" s="1" t="s">
        <v>47</v>
      </c>
      <c r="U260" s="1" t="s">
        <v>39</v>
      </c>
      <c r="V260" s="4">
        <v>955.48102710000001</v>
      </c>
      <c r="W260" s="8">
        <f>Table1[[#This Row],[Revenue]]-Table1[[#This Row],[Shipping costs]]-Table1[[#This Row],[Manufacturing costs]]</f>
        <v>904.30288711699995</v>
      </c>
    </row>
    <row r="261" spans="1:23" ht="14.25" customHeight="1" x14ac:dyDescent="0.25">
      <c r="A261" s="1" t="s">
        <v>29</v>
      </c>
      <c r="B261" s="1" t="s">
        <v>307</v>
      </c>
      <c r="C261" s="2">
        <v>88.29</v>
      </c>
      <c r="D261" s="1">
        <v>76</v>
      </c>
      <c r="E261" s="1">
        <v>85</v>
      </c>
      <c r="F261" s="1">
        <v>9</v>
      </c>
      <c r="G261" s="1">
        <v>25</v>
      </c>
      <c r="H261" s="1" t="str">
        <f>IF(Table1[[#This Row],[Order quantities]]&gt;Table1[[#This Row],[Availability]], "High Risk", "Low Risk")</f>
        <v>Low Risk</v>
      </c>
      <c r="I261" s="1">
        <v>4</v>
      </c>
      <c r="J261" s="1" t="s">
        <v>23</v>
      </c>
      <c r="K261" s="4">
        <v>9.7820093670000006</v>
      </c>
      <c r="L261" s="1" t="s">
        <v>41</v>
      </c>
      <c r="M261" s="1" t="s">
        <v>49</v>
      </c>
      <c r="N261" s="1">
        <v>5</v>
      </c>
      <c r="O261" s="1">
        <v>902</v>
      </c>
      <c r="P261" s="1">
        <v>6</v>
      </c>
      <c r="Q261" s="4">
        <v>43.183263160000003</v>
      </c>
      <c r="R261" s="1" t="s">
        <v>26</v>
      </c>
      <c r="S261" s="3">
        <v>4.9561768930000003</v>
      </c>
      <c r="T261" s="1" t="s">
        <v>35</v>
      </c>
      <c r="U261" s="1" t="s">
        <v>53</v>
      </c>
      <c r="V261" s="4">
        <v>982.37292420000006</v>
      </c>
      <c r="W261" s="8">
        <f>Table1[[#This Row],[Revenue]]-Table1[[#This Row],[Shipping costs]]-Table1[[#This Row],[Manufacturing costs]]</f>
        <v>929.40765167300003</v>
      </c>
    </row>
    <row r="262" spans="1:23" ht="14.25" customHeight="1" x14ac:dyDescent="0.25">
      <c r="A262" s="1" t="s">
        <v>21</v>
      </c>
      <c r="B262" s="1" t="s">
        <v>308</v>
      </c>
      <c r="C262" s="2">
        <v>37.5</v>
      </c>
      <c r="D262" s="1">
        <v>92</v>
      </c>
      <c r="E262" s="1">
        <v>174</v>
      </c>
      <c r="F262" s="1">
        <v>19</v>
      </c>
      <c r="G262" s="1">
        <v>36</v>
      </c>
      <c r="H262" s="1" t="str">
        <f>IF(Table1[[#This Row],[Order quantities]]&gt;Table1[[#This Row],[Availability]], "High Risk", "Low Risk")</f>
        <v>Low Risk</v>
      </c>
      <c r="I262" s="1">
        <v>6</v>
      </c>
      <c r="J262" s="1" t="s">
        <v>23</v>
      </c>
      <c r="K262" s="4">
        <v>4.3222257439999998</v>
      </c>
      <c r="L262" s="1" t="s">
        <v>41</v>
      </c>
      <c r="M262" s="1" t="s">
        <v>46</v>
      </c>
      <c r="N262" s="1">
        <v>2</v>
      </c>
      <c r="O262" s="1">
        <v>944</v>
      </c>
      <c r="P262" s="1">
        <v>1</v>
      </c>
      <c r="Q262" s="4">
        <v>72.102324159999995</v>
      </c>
      <c r="R262" s="1" t="s">
        <v>34</v>
      </c>
      <c r="S262" s="3">
        <v>0.59956749300000001</v>
      </c>
      <c r="T262" s="1" t="s">
        <v>35</v>
      </c>
      <c r="U262" s="1" t="s">
        <v>53</v>
      </c>
      <c r="V262" s="4">
        <v>590.91102590000003</v>
      </c>
      <c r="W262" s="8">
        <f>Table1[[#This Row],[Revenue]]-Table1[[#This Row],[Shipping costs]]-Table1[[#This Row],[Manufacturing costs]]</f>
        <v>514.48647599600008</v>
      </c>
    </row>
    <row r="263" spans="1:23" ht="14.25" customHeight="1" x14ac:dyDescent="0.25">
      <c r="A263" s="1" t="s">
        <v>21</v>
      </c>
      <c r="B263" s="1" t="s">
        <v>309</v>
      </c>
      <c r="C263" s="2">
        <v>83.02</v>
      </c>
      <c r="D263" s="1">
        <v>11</v>
      </c>
      <c r="E263" s="1">
        <v>801</v>
      </c>
      <c r="F263" s="1">
        <v>22</v>
      </c>
      <c r="G263" s="1">
        <v>8</v>
      </c>
      <c r="H263" s="1" t="str">
        <f>IF(Table1[[#This Row],[Order quantities]]&gt;Table1[[#This Row],[Availability]], "High Risk", "Low Risk")</f>
        <v>Low Risk</v>
      </c>
      <c r="I263" s="1">
        <v>1</v>
      </c>
      <c r="J263" s="1" t="s">
        <v>23</v>
      </c>
      <c r="K263" s="4">
        <v>4.2147310060000001</v>
      </c>
      <c r="L263" s="1" t="s">
        <v>24</v>
      </c>
      <c r="M263" s="1" t="s">
        <v>55</v>
      </c>
      <c r="N263" s="1">
        <v>20</v>
      </c>
      <c r="O263" s="1">
        <v>279</v>
      </c>
      <c r="P263" s="1">
        <v>6</v>
      </c>
      <c r="Q263" s="4">
        <v>44.846494669999998</v>
      </c>
      <c r="R263" s="1" t="s">
        <v>26</v>
      </c>
      <c r="S263" s="3">
        <v>2.082760639</v>
      </c>
      <c r="T263" s="1" t="s">
        <v>35</v>
      </c>
      <c r="U263" s="1" t="s">
        <v>28</v>
      </c>
      <c r="V263" s="4">
        <v>955.06223969999996</v>
      </c>
      <c r="W263" s="8">
        <f>Table1[[#This Row],[Revenue]]-Table1[[#This Row],[Shipping costs]]-Table1[[#This Row],[Manufacturing costs]]</f>
        <v>906.00101402400003</v>
      </c>
    </row>
    <row r="264" spans="1:23" ht="14.25" customHeight="1" x14ac:dyDescent="0.25">
      <c r="A264" s="1" t="s">
        <v>29</v>
      </c>
      <c r="B264" s="1" t="s">
        <v>310</v>
      </c>
      <c r="C264" s="2">
        <v>15.51</v>
      </c>
      <c r="D264" s="1">
        <v>38</v>
      </c>
      <c r="E264" s="1">
        <v>192</v>
      </c>
      <c r="F264" s="1">
        <v>5</v>
      </c>
      <c r="G264" s="1">
        <v>73</v>
      </c>
      <c r="H264" s="1" t="str">
        <f>IF(Table1[[#This Row],[Order quantities]]&gt;Table1[[#This Row],[Availability]], "High Risk", "Low Risk")</f>
        <v>High Risk</v>
      </c>
      <c r="I264" s="1">
        <v>4</v>
      </c>
      <c r="J264" s="1" t="s">
        <v>43</v>
      </c>
      <c r="K264" s="4">
        <v>4.096824561</v>
      </c>
      <c r="L264" s="1" t="s">
        <v>24</v>
      </c>
      <c r="M264" s="1" t="s">
        <v>49</v>
      </c>
      <c r="N264" s="1">
        <v>25</v>
      </c>
      <c r="O264" s="1">
        <v>514</v>
      </c>
      <c r="P264" s="1">
        <v>18</v>
      </c>
      <c r="Q264" s="4">
        <v>41.149765019999997</v>
      </c>
      <c r="R264" s="1" t="s">
        <v>34</v>
      </c>
      <c r="S264" s="3">
        <v>0.40599290300000002</v>
      </c>
      <c r="T264" s="1" t="s">
        <v>35</v>
      </c>
      <c r="U264" s="1" t="s">
        <v>28</v>
      </c>
      <c r="V264" s="4">
        <v>261.50071380000003</v>
      </c>
      <c r="W264" s="8">
        <f>Table1[[#This Row],[Revenue]]-Table1[[#This Row],[Shipping costs]]-Table1[[#This Row],[Manufacturing costs]]</f>
        <v>216.25412421900003</v>
      </c>
    </row>
    <row r="265" spans="1:23" ht="14.25" customHeight="1" x14ac:dyDescent="0.25">
      <c r="A265" s="1" t="s">
        <v>29</v>
      </c>
      <c r="B265" s="1" t="s">
        <v>311</v>
      </c>
      <c r="C265" s="2">
        <v>85.41</v>
      </c>
      <c r="D265" s="1">
        <v>65</v>
      </c>
      <c r="E265" s="1">
        <v>310</v>
      </c>
      <c r="F265" s="1">
        <v>27</v>
      </c>
      <c r="G265" s="1">
        <v>58</v>
      </c>
      <c r="H265" s="1" t="str">
        <f>IF(Table1[[#This Row],[Order quantities]]&gt;Table1[[#This Row],[Availability]], "High Risk", "Low Risk")</f>
        <v>Low Risk</v>
      </c>
      <c r="I265" s="1">
        <v>4</v>
      </c>
      <c r="J265" s="1" t="s">
        <v>23</v>
      </c>
      <c r="K265" s="4">
        <v>5.6848945359999998</v>
      </c>
      <c r="L265" s="1" t="s">
        <v>32</v>
      </c>
      <c r="M265" s="1" t="s">
        <v>49</v>
      </c>
      <c r="N265" s="1">
        <v>4</v>
      </c>
      <c r="O265" s="1">
        <v>969</v>
      </c>
      <c r="P265" s="1">
        <v>22</v>
      </c>
      <c r="Q265" s="4">
        <v>85.229956729999998</v>
      </c>
      <c r="R265" s="1" t="s">
        <v>26</v>
      </c>
      <c r="S265" s="3">
        <v>4.1232839739999996</v>
      </c>
      <c r="T265" s="1" t="s">
        <v>27</v>
      </c>
      <c r="U265" s="1" t="s">
        <v>28</v>
      </c>
      <c r="V265" s="4">
        <v>122.87861669999999</v>
      </c>
      <c r="W265" s="8">
        <f>Table1[[#This Row],[Revenue]]-Table1[[#This Row],[Shipping costs]]-Table1[[#This Row],[Manufacturing costs]]</f>
        <v>31.963765433999995</v>
      </c>
    </row>
    <row r="266" spans="1:23" ht="14.25" customHeight="1" x14ac:dyDescent="0.25">
      <c r="A266" s="1" t="s">
        <v>29</v>
      </c>
      <c r="B266" s="1" t="s">
        <v>312</v>
      </c>
      <c r="C266" s="2">
        <v>17.11</v>
      </c>
      <c r="D266" s="1">
        <v>95</v>
      </c>
      <c r="E266" s="1">
        <v>118</v>
      </c>
      <c r="F266" s="1">
        <v>2</v>
      </c>
      <c r="G266" s="1">
        <v>45</v>
      </c>
      <c r="H266" s="1" t="str">
        <f>IF(Table1[[#This Row],[Order quantities]]&gt;Table1[[#This Row],[Availability]], "High Risk", "Low Risk")</f>
        <v>Low Risk</v>
      </c>
      <c r="I266" s="1">
        <v>1</v>
      </c>
      <c r="J266" s="1" t="s">
        <v>43</v>
      </c>
      <c r="K266" s="4">
        <v>4.9659839510000001</v>
      </c>
      <c r="L266" s="1" t="s">
        <v>41</v>
      </c>
      <c r="M266" s="1" t="s">
        <v>49</v>
      </c>
      <c r="N266" s="1">
        <v>10</v>
      </c>
      <c r="O266" s="1">
        <v>334</v>
      </c>
      <c r="P266" s="1">
        <v>9</v>
      </c>
      <c r="Q266" s="4">
        <v>19.11485115</v>
      </c>
      <c r="R266" s="1" t="s">
        <v>34</v>
      </c>
      <c r="S266" s="3">
        <v>0.55249461099999997</v>
      </c>
      <c r="T266" s="1" t="s">
        <v>47</v>
      </c>
      <c r="U266" s="1" t="s">
        <v>39</v>
      </c>
      <c r="V266" s="4">
        <v>135.46858180000001</v>
      </c>
      <c r="W266" s="8">
        <f>Table1[[#This Row],[Revenue]]-Table1[[#This Row],[Shipping costs]]-Table1[[#This Row],[Manufacturing costs]]</f>
        <v>111.38774669900002</v>
      </c>
    </row>
    <row r="267" spans="1:23" ht="14.25" customHeight="1" x14ac:dyDescent="0.25">
      <c r="A267" s="1" t="s">
        <v>29</v>
      </c>
      <c r="B267" s="1" t="s">
        <v>313</v>
      </c>
      <c r="C267" s="2">
        <v>42.74</v>
      </c>
      <c r="D267" s="1">
        <v>12</v>
      </c>
      <c r="E267" s="1">
        <v>217</v>
      </c>
      <c r="F267" s="1">
        <v>30</v>
      </c>
      <c r="G267" s="1">
        <v>62</v>
      </c>
      <c r="H267" s="1" t="str">
        <f>IF(Table1[[#This Row],[Order quantities]]&gt;Table1[[#This Row],[Availability]], "High Risk", "Low Risk")</f>
        <v>High Risk</v>
      </c>
      <c r="I267" s="1">
        <v>9</v>
      </c>
      <c r="J267" s="1" t="s">
        <v>31</v>
      </c>
      <c r="K267" s="4">
        <v>8.9192316409999997</v>
      </c>
      <c r="L267" s="1" t="s">
        <v>32</v>
      </c>
      <c r="M267" s="1" t="s">
        <v>46</v>
      </c>
      <c r="N267" s="1">
        <v>10</v>
      </c>
      <c r="O267" s="1">
        <v>954</v>
      </c>
      <c r="P267" s="1">
        <v>24</v>
      </c>
      <c r="Q267" s="4">
        <v>70.830336059999993</v>
      </c>
      <c r="R267" s="1" t="s">
        <v>51</v>
      </c>
      <c r="S267" s="3">
        <v>3.4026360470000001</v>
      </c>
      <c r="T267" s="1" t="s">
        <v>35</v>
      </c>
      <c r="U267" s="1" t="s">
        <v>39</v>
      </c>
      <c r="V267" s="4">
        <v>628.76123150000001</v>
      </c>
      <c r="W267" s="8">
        <f>Table1[[#This Row],[Revenue]]-Table1[[#This Row],[Shipping costs]]-Table1[[#This Row],[Manufacturing costs]]</f>
        <v>549.01166379899996</v>
      </c>
    </row>
    <row r="268" spans="1:23" ht="14.25" customHeight="1" x14ac:dyDescent="0.25">
      <c r="A268" s="1" t="s">
        <v>29</v>
      </c>
      <c r="B268" s="1" t="s">
        <v>314</v>
      </c>
      <c r="C268" s="2">
        <v>80.739999999999995</v>
      </c>
      <c r="D268" s="1">
        <v>45</v>
      </c>
      <c r="E268" s="1">
        <v>426</v>
      </c>
      <c r="F268" s="1">
        <v>15</v>
      </c>
      <c r="G268" s="1">
        <v>39</v>
      </c>
      <c r="H268" s="1" t="str">
        <f>IF(Table1[[#This Row],[Order quantities]]&gt;Table1[[#This Row],[Availability]], "High Risk", "Low Risk")</f>
        <v>Low Risk</v>
      </c>
      <c r="I268" s="1">
        <v>4</v>
      </c>
      <c r="J268" s="1" t="s">
        <v>31</v>
      </c>
      <c r="K268" s="4">
        <v>5.5496871260000002</v>
      </c>
      <c r="L268" s="1" t="s">
        <v>24</v>
      </c>
      <c r="M268" s="1" t="s">
        <v>33</v>
      </c>
      <c r="N268" s="1">
        <v>24</v>
      </c>
      <c r="O268" s="1">
        <v>807</v>
      </c>
      <c r="P268" s="1">
        <v>25</v>
      </c>
      <c r="Q268" s="4">
        <v>32.385285439999997</v>
      </c>
      <c r="R268" s="1" t="s">
        <v>26</v>
      </c>
      <c r="S268" s="3">
        <v>0.37676877800000003</v>
      </c>
      <c r="T268" s="1" t="s">
        <v>35</v>
      </c>
      <c r="U268" s="1" t="s">
        <v>53</v>
      </c>
      <c r="V268" s="4">
        <v>155.47769510000001</v>
      </c>
      <c r="W268" s="8">
        <f>Table1[[#This Row],[Revenue]]-Table1[[#This Row],[Shipping costs]]-Table1[[#This Row],[Manufacturing costs]]</f>
        <v>117.54272253400001</v>
      </c>
    </row>
    <row r="269" spans="1:23" ht="14.25" customHeight="1" x14ac:dyDescent="0.25">
      <c r="A269" s="1" t="s">
        <v>29</v>
      </c>
      <c r="B269" s="1" t="s">
        <v>315</v>
      </c>
      <c r="C269" s="2">
        <v>19.239999999999998</v>
      </c>
      <c r="D269" s="1">
        <v>26</v>
      </c>
      <c r="E269" s="1">
        <v>969</v>
      </c>
      <c r="F269" s="1">
        <v>7</v>
      </c>
      <c r="G269" s="1">
        <v>96</v>
      </c>
      <c r="H269" s="1" t="str">
        <f>IF(Table1[[#This Row],[Order quantities]]&gt;Table1[[#This Row],[Availability]], "High Risk", "Low Risk")</f>
        <v>High Risk</v>
      </c>
      <c r="I269" s="1">
        <v>7</v>
      </c>
      <c r="J269" s="1" t="s">
        <v>31</v>
      </c>
      <c r="K269" s="4">
        <v>5.5698205439999997</v>
      </c>
      <c r="L269" s="1" t="s">
        <v>38</v>
      </c>
      <c r="M269" s="1" t="s">
        <v>33</v>
      </c>
      <c r="N269" s="1">
        <v>21</v>
      </c>
      <c r="O269" s="1">
        <v>919</v>
      </c>
      <c r="P269" s="1">
        <v>29</v>
      </c>
      <c r="Q269" s="4">
        <v>11.39484176</v>
      </c>
      <c r="R269" s="1" t="s">
        <v>26</v>
      </c>
      <c r="S269" s="3">
        <v>3.3969896849999999</v>
      </c>
      <c r="T269" s="1" t="s">
        <v>35</v>
      </c>
      <c r="U269" s="1" t="s">
        <v>53</v>
      </c>
      <c r="V269" s="4">
        <v>962.69104609999999</v>
      </c>
      <c r="W269" s="8">
        <f>Table1[[#This Row],[Revenue]]-Table1[[#This Row],[Shipping costs]]-Table1[[#This Row],[Manufacturing costs]]</f>
        <v>945.72638379600005</v>
      </c>
    </row>
    <row r="270" spans="1:23" ht="14.25" customHeight="1" x14ac:dyDescent="0.25">
      <c r="A270" s="1" t="s">
        <v>29</v>
      </c>
      <c r="B270" s="1" t="s">
        <v>316</v>
      </c>
      <c r="C270" s="2">
        <v>26.78</v>
      </c>
      <c r="D270" s="1">
        <v>16</v>
      </c>
      <c r="E270" s="1">
        <v>413</v>
      </c>
      <c r="F270" s="1">
        <v>4</v>
      </c>
      <c r="G270" s="1">
        <v>58</v>
      </c>
      <c r="H270" s="1" t="str">
        <f>IF(Table1[[#This Row],[Order quantities]]&gt;Table1[[#This Row],[Availability]], "High Risk", "Low Risk")</f>
        <v>High Risk</v>
      </c>
      <c r="I270" s="1">
        <v>3</v>
      </c>
      <c r="J270" s="1" t="s">
        <v>43</v>
      </c>
      <c r="K270" s="4">
        <v>2.245344352</v>
      </c>
      <c r="L270" s="1" t="s">
        <v>41</v>
      </c>
      <c r="M270" s="1" t="s">
        <v>25</v>
      </c>
      <c r="N270" s="1">
        <v>11</v>
      </c>
      <c r="O270" s="1">
        <v>179</v>
      </c>
      <c r="P270" s="1">
        <v>15</v>
      </c>
      <c r="Q270" s="4">
        <v>25.008784200000001</v>
      </c>
      <c r="R270" s="1" t="s">
        <v>51</v>
      </c>
      <c r="S270" s="3">
        <v>4.2308810399999999</v>
      </c>
      <c r="T270" s="1" t="s">
        <v>47</v>
      </c>
      <c r="U270" s="1" t="s">
        <v>28</v>
      </c>
      <c r="V270" s="4">
        <v>227.73988969999999</v>
      </c>
      <c r="W270" s="8">
        <f>Table1[[#This Row],[Revenue]]-Table1[[#This Row],[Shipping costs]]-Table1[[#This Row],[Manufacturing costs]]</f>
        <v>200.48576114799999</v>
      </c>
    </row>
    <row r="271" spans="1:23" ht="14.25" customHeight="1" x14ac:dyDescent="0.25">
      <c r="A271" s="1" t="s">
        <v>29</v>
      </c>
      <c r="B271" s="1" t="s">
        <v>317</v>
      </c>
      <c r="C271" s="2">
        <v>73.61</v>
      </c>
      <c r="D271" s="1">
        <v>94</v>
      </c>
      <c r="E271" s="1">
        <v>113</v>
      </c>
      <c r="F271" s="1">
        <v>1</v>
      </c>
      <c r="G271" s="1">
        <v>81</v>
      </c>
      <c r="H271" s="1" t="str">
        <f>IF(Table1[[#This Row],[Order quantities]]&gt;Table1[[#This Row],[Availability]], "High Risk", "Low Risk")</f>
        <v>Low Risk</v>
      </c>
      <c r="I271" s="1">
        <v>3</v>
      </c>
      <c r="J271" s="1" t="s">
        <v>43</v>
      </c>
      <c r="K271" s="4">
        <v>9.8446558680000003</v>
      </c>
      <c r="L271" s="1" t="s">
        <v>41</v>
      </c>
      <c r="M271" s="1" t="s">
        <v>46</v>
      </c>
      <c r="N271" s="1">
        <v>27</v>
      </c>
      <c r="O271" s="1">
        <v>746</v>
      </c>
      <c r="P271" s="1">
        <v>26</v>
      </c>
      <c r="Q271" s="4">
        <v>64.599537679999997</v>
      </c>
      <c r="R271" s="1" t="s">
        <v>34</v>
      </c>
      <c r="S271" s="3">
        <v>2.0542254820000001</v>
      </c>
      <c r="T271" s="1" t="s">
        <v>35</v>
      </c>
      <c r="U271" s="1" t="s">
        <v>53</v>
      </c>
      <c r="V271" s="4">
        <v>374.25052540000001</v>
      </c>
      <c r="W271" s="8">
        <f>Table1[[#This Row],[Revenue]]-Table1[[#This Row],[Shipping costs]]-Table1[[#This Row],[Manufacturing costs]]</f>
        <v>299.80633185199997</v>
      </c>
    </row>
    <row r="272" spans="1:23" ht="14.25" customHeight="1" x14ac:dyDescent="0.25">
      <c r="A272" s="1" t="s">
        <v>29</v>
      </c>
      <c r="B272" s="1" t="s">
        <v>318</v>
      </c>
      <c r="C272" s="2">
        <v>73.400000000000006</v>
      </c>
      <c r="D272" s="1">
        <v>97</v>
      </c>
      <c r="E272" s="1">
        <v>977</v>
      </c>
      <c r="F272" s="1">
        <v>13</v>
      </c>
      <c r="G272" s="1">
        <v>99</v>
      </c>
      <c r="H272" s="1" t="str">
        <f>IF(Table1[[#This Row],[Order quantities]]&gt;Table1[[#This Row],[Availability]], "High Risk", "Low Risk")</f>
        <v>High Risk</v>
      </c>
      <c r="I272" s="1">
        <v>8</v>
      </c>
      <c r="J272" s="1" t="s">
        <v>23</v>
      </c>
      <c r="K272" s="4">
        <v>3.2497560179999998</v>
      </c>
      <c r="L272" s="1" t="s">
        <v>41</v>
      </c>
      <c r="M272" s="1" t="s">
        <v>46</v>
      </c>
      <c r="N272" s="1">
        <v>16</v>
      </c>
      <c r="O272" s="1">
        <v>121</v>
      </c>
      <c r="P272" s="1">
        <v>8</v>
      </c>
      <c r="Q272" s="4">
        <v>73.821447230000004</v>
      </c>
      <c r="R272" s="1" t="s">
        <v>34</v>
      </c>
      <c r="S272" s="3">
        <v>2.658419818</v>
      </c>
      <c r="T272" s="1" t="s">
        <v>27</v>
      </c>
      <c r="U272" s="1" t="s">
        <v>53</v>
      </c>
      <c r="V272" s="4">
        <v>840.26602179999998</v>
      </c>
      <c r="W272" s="8">
        <f>Table1[[#This Row],[Revenue]]-Table1[[#This Row],[Shipping costs]]-Table1[[#This Row],[Manufacturing costs]]</f>
        <v>763.19481855200002</v>
      </c>
    </row>
    <row r="273" spans="1:23" ht="14.25" customHeight="1" x14ac:dyDescent="0.25">
      <c r="A273" s="1" t="s">
        <v>29</v>
      </c>
      <c r="B273" s="1" t="s">
        <v>319</v>
      </c>
      <c r="C273" s="2">
        <v>65.91</v>
      </c>
      <c r="D273" s="1">
        <v>59</v>
      </c>
      <c r="E273" s="1">
        <v>144</v>
      </c>
      <c r="F273" s="1">
        <v>20</v>
      </c>
      <c r="G273" s="1">
        <v>83</v>
      </c>
      <c r="H273" s="1" t="str">
        <f>IF(Table1[[#This Row],[Order quantities]]&gt;Table1[[#This Row],[Availability]], "High Risk", "Low Risk")</f>
        <v>High Risk</v>
      </c>
      <c r="I273" s="1">
        <v>8</v>
      </c>
      <c r="J273" s="1" t="s">
        <v>31</v>
      </c>
      <c r="K273" s="4">
        <v>1.6602766069999999</v>
      </c>
      <c r="L273" s="1" t="s">
        <v>37</v>
      </c>
      <c r="M273" s="1" t="s">
        <v>46</v>
      </c>
      <c r="N273" s="1">
        <v>26</v>
      </c>
      <c r="O273" s="1">
        <v>576</v>
      </c>
      <c r="P273" s="1">
        <v>19</v>
      </c>
      <c r="Q273" s="4">
        <v>11.895200519999999</v>
      </c>
      <c r="R273" s="1" t="s">
        <v>51</v>
      </c>
      <c r="S273" s="3">
        <v>2.067554516</v>
      </c>
      <c r="T273" s="1" t="s">
        <v>27</v>
      </c>
      <c r="U273" s="1" t="s">
        <v>39</v>
      </c>
      <c r="V273" s="4">
        <v>296.8662908</v>
      </c>
      <c r="W273" s="8">
        <f>Table1[[#This Row],[Revenue]]-Table1[[#This Row],[Shipping costs]]-Table1[[#This Row],[Manufacturing costs]]</f>
        <v>283.31081367299998</v>
      </c>
    </row>
    <row r="274" spans="1:23" ht="14.25" customHeight="1" x14ac:dyDescent="0.25">
      <c r="A274" s="1" t="s">
        <v>29</v>
      </c>
      <c r="B274" s="1" t="s">
        <v>320</v>
      </c>
      <c r="C274" s="2">
        <v>70.930000000000007</v>
      </c>
      <c r="D274" s="1">
        <v>63</v>
      </c>
      <c r="E274" s="1">
        <v>537</v>
      </c>
      <c r="F274" s="1">
        <v>22</v>
      </c>
      <c r="G274" s="1">
        <v>64</v>
      </c>
      <c r="H274" s="1" t="str">
        <f>IF(Table1[[#This Row],[Order quantities]]&gt;Table1[[#This Row],[Availability]], "High Risk", "Low Risk")</f>
        <v>High Risk</v>
      </c>
      <c r="I274" s="1">
        <v>1</v>
      </c>
      <c r="J274" s="1" t="s">
        <v>31</v>
      </c>
      <c r="K274" s="4">
        <v>6.9683162410000001</v>
      </c>
      <c r="L274" s="1" t="s">
        <v>24</v>
      </c>
      <c r="M274" s="1" t="s">
        <v>33</v>
      </c>
      <c r="N274" s="1">
        <v>29</v>
      </c>
      <c r="O274" s="1">
        <v>942</v>
      </c>
      <c r="P274" s="1">
        <v>24</v>
      </c>
      <c r="Q274" s="4">
        <v>13.278289900000001</v>
      </c>
      <c r="R274" s="1" t="s">
        <v>51</v>
      </c>
      <c r="S274" s="3">
        <v>1.572394917</v>
      </c>
      <c r="T274" s="1" t="s">
        <v>47</v>
      </c>
      <c r="U274" s="1" t="s">
        <v>53</v>
      </c>
      <c r="V274" s="4">
        <v>318.6716126</v>
      </c>
      <c r="W274" s="8">
        <f>Table1[[#This Row],[Revenue]]-Table1[[#This Row],[Shipping costs]]-Table1[[#This Row],[Manufacturing costs]]</f>
        <v>298.42500645899997</v>
      </c>
    </row>
    <row r="275" spans="1:23" ht="14.25" customHeight="1" x14ac:dyDescent="0.25">
      <c r="A275" s="1" t="s">
        <v>21</v>
      </c>
      <c r="B275" s="1" t="s">
        <v>321</v>
      </c>
      <c r="C275" s="2">
        <v>56.56</v>
      </c>
      <c r="D275" s="1">
        <v>87</v>
      </c>
      <c r="E275" s="1">
        <v>647</v>
      </c>
      <c r="F275" s="1">
        <v>7</v>
      </c>
      <c r="G275" s="1">
        <v>44</v>
      </c>
      <c r="H275" s="1" t="str">
        <f>IF(Table1[[#This Row],[Order quantities]]&gt;Table1[[#This Row],[Availability]], "High Risk", "Low Risk")</f>
        <v>Low Risk</v>
      </c>
      <c r="I275" s="1">
        <v>2</v>
      </c>
      <c r="J275" s="1" t="s">
        <v>23</v>
      </c>
      <c r="K275" s="4">
        <v>6.3582973310000002</v>
      </c>
      <c r="L275" s="1" t="s">
        <v>24</v>
      </c>
      <c r="M275" s="1" t="s">
        <v>46</v>
      </c>
      <c r="N275" s="1">
        <v>29</v>
      </c>
      <c r="O275" s="1">
        <v>539</v>
      </c>
      <c r="P275" s="1">
        <v>16</v>
      </c>
      <c r="Q275" s="4">
        <v>91.228790340000003</v>
      </c>
      <c r="R275" s="1" t="s">
        <v>51</v>
      </c>
      <c r="S275" s="3">
        <v>4.0359906629999998</v>
      </c>
      <c r="T275" s="1" t="s">
        <v>47</v>
      </c>
      <c r="U275" s="1" t="s">
        <v>28</v>
      </c>
      <c r="V275" s="4">
        <v>678.07806019999998</v>
      </c>
      <c r="W275" s="8">
        <f>Table1[[#This Row],[Revenue]]-Table1[[#This Row],[Shipping costs]]-Table1[[#This Row],[Manufacturing costs]]</f>
        <v>580.49097252899992</v>
      </c>
    </row>
    <row r="276" spans="1:23" ht="14.25" customHeight="1" x14ac:dyDescent="0.25">
      <c r="A276" s="1" t="s">
        <v>21</v>
      </c>
      <c r="B276" s="1" t="s">
        <v>322</v>
      </c>
      <c r="C276" s="2">
        <v>28.92</v>
      </c>
      <c r="D276" s="1">
        <v>34</v>
      </c>
      <c r="E276" s="1">
        <v>302</v>
      </c>
      <c r="F276" s="1">
        <v>15</v>
      </c>
      <c r="G276" s="1">
        <v>29</v>
      </c>
      <c r="H276" s="1" t="str">
        <f>IF(Table1[[#This Row],[Order quantities]]&gt;Table1[[#This Row],[Availability]], "High Risk", "Low Risk")</f>
        <v>Low Risk</v>
      </c>
      <c r="I276" s="1">
        <v>8</v>
      </c>
      <c r="J276" s="1" t="s">
        <v>31</v>
      </c>
      <c r="K276" s="4">
        <v>4.7363108860000001</v>
      </c>
      <c r="L276" s="1" t="s">
        <v>37</v>
      </c>
      <c r="M276" s="1" t="s">
        <v>62</v>
      </c>
      <c r="N276" s="1">
        <v>30</v>
      </c>
      <c r="O276" s="1">
        <v>836</v>
      </c>
      <c r="P276" s="1">
        <v>6</v>
      </c>
      <c r="Q276" s="4">
        <v>16.597523630000001</v>
      </c>
      <c r="R276" s="1" t="s">
        <v>34</v>
      </c>
      <c r="S276" s="3">
        <v>1.4328126109999999</v>
      </c>
      <c r="T276" s="1" t="s">
        <v>27</v>
      </c>
      <c r="U276" s="1" t="s">
        <v>28</v>
      </c>
      <c r="V276" s="4">
        <v>348.47747959999998</v>
      </c>
      <c r="W276" s="8">
        <f>Table1[[#This Row],[Revenue]]-Table1[[#This Row],[Shipping costs]]-Table1[[#This Row],[Manufacturing costs]]</f>
        <v>327.14364508399996</v>
      </c>
    </row>
    <row r="277" spans="1:23" ht="14.25" customHeight="1" x14ac:dyDescent="0.25">
      <c r="A277" s="1" t="s">
        <v>21</v>
      </c>
      <c r="B277" s="1" t="s">
        <v>323</v>
      </c>
      <c r="C277" s="2">
        <v>37.840000000000003</v>
      </c>
      <c r="D277" s="1">
        <v>69</v>
      </c>
      <c r="E277" s="1">
        <v>743</v>
      </c>
      <c r="F277" s="1">
        <v>23</v>
      </c>
      <c r="G277" s="1">
        <v>59</v>
      </c>
      <c r="H277" s="1" t="str">
        <f>IF(Table1[[#This Row],[Order quantities]]&gt;Table1[[#This Row],[Availability]], "High Risk", "Low Risk")</f>
        <v>Low Risk</v>
      </c>
      <c r="I277" s="1">
        <v>1</v>
      </c>
      <c r="J277" s="1" t="s">
        <v>43</v>
      </c>
      <c r="K277" s="4">
        <v>4.7997301050000001</v>
      </c>
      <c r="L277" s="1" t="s">
        <v>41</v>
      </c>
      <c r="M277" s="1" t="s">
        <v>46</v>
      </c>
      <c r="N277" s="1">
        <v>17</v>
      </c>
      <c r="O277" s="1">
        <v>669</v>
      </c>
      <c r="P277" s="1">
        <v>29</v>
      </c>
      <c r="Q277" s="4">
        <v>90.476394279999994</v>
      </c>
      <c r="R277" s="1" t="s">
        <v>34</v>
      </c>
      <c r="S277" s="3">
        <v>3.64242278</v>
      </c>
      <c r="T277" s="1" t="s">
        <v>47</v>
      </c>
      <c r="U277" s="1" t="s">
        <v>39</v>
      </c>
      <c r="V277" s="4">
        <v>295.70287059999998</v>
      </c>
      <c r="W277" s="8">
        <f>Table1[[#This Row],[Revenue]]-Table1[[#This Row],[Shipping costs]]-Table1[[#This Row],[Manufacturing costs]]</f>
        <v>200.42674621500001</v>
      </c>
    </row>
    <row r="278" spans="1:23" ht="14.25" customHeight="1" x14ac:dyDescent="0.25">
      <c r="A278" s="1" t="s">
        <v>29</v>
      </c>
      <c r="B278" s="1" t="s">
        <v>324</v>
      </c>
      <c r="C278" s="2">
        <v>22.25</v>
      </c>
      <c r="D278" s="1">
        <v>82</v>
      </c>
      <c r="E278" s="1">
        <v>880</v>
      </c>
      <c r="F278" s="1">
        <v>14</v>
      </c>
      <c r="G278" s="1">
        <v>71</v>
      </c>
      <c r="H278" s="1" t="str">
        <f>IF(Table1[[#This Row],[Order quantities]]&gt;Table1[[#This Row],[Availability]], "High Risk", "Low Risk")</f>
        <v>Low Risk</v>
      </c>
      <c r="I278" s="1">
        <v>8</v>
      </c>
      <c r="J278" s="1" t="s">
        <v>43</v>
      </c>
      <c r="K278" s="4">
        <v>8.0655752889999999</v>
      </c>
      <c r="L278" s="1" t="s">
        <v>32</v>
      </c>
      <c r="M278" s="1" t="s">
        <v>62</v>
      </c>
      <c r="N278" s="1">
        <v>16</v>
      </c>
      <c r="O278" s="1">
        <v>192</v>
      </c>
      <c r="P278" s="1">
        <v>6</v>
      </c>
      <c r="Q278" s="4">
        <v>30.53493224</v>
      </c>
      <c r="R278" s="1" t="s">
        <v>51</v>
      </c>
      <c r="S278" s="3">
        <v>1.1103656879999999</v>
      </c>
      <c r="T278" s="1" t="s">
        <v>27</v>
      </c>
      <c r="U278" s="1" t="s">
        <v>53</v>
      </c>
      <c r="V278" s="4">
        <v>328.7599429</v>
      </c>
      <c r="W278" s="8">
        <f>Table1[[#This Row],[Revenue]]-Table1[[#This Row],[Shipping costs]]-Table1[[#This Row],[Manufacturing costs]]</f>
        <v>290.15943537100003</v>
      </c>
    </row>
    <row r="279" spans="1:23" ht="14.25" customHeight="1" x14ac:dyDescent="0.25">
      <c r="A279" s="1" t="s">
        <v>21</v>
      </c>
      <c r="B279" s="1" t="s">
        <v>325</v>
      </c>
      <c r="C279" s="2">
        <v>91.3</v>
      </c>
      <c r="D279" s="1">
        <v>29</v>
      </c>
      <c r="E279" s="1">
        <v>587</v>
      </c>
      <c r="F279" s="1">
        <v>23</v>
      </c>
      <c r="G279" s="1">
        <v>92</v>
      </c>
      <c r="H279" s="1" t="str">
        <f>IF(Table1[[#This Row],[Order quantities]]&gt;Table1[[#This Row],[Availability]], "High Risk", "Low Risk")</f>
        <v>High Risk</v>
      </c>
      <c r="I279" s="1">
        <v>8</v>
      </c>
      <c r="J279" s="1" t="s">
        <v>43</v>
      </c>
      <c r="K279" s="4">
        <v>2.761413761</v>
      </c>
      <c r="L279" s="1" t="s">
        <v>44</v>
      </c>
      <c r="M279" s="1" t="s">
        <v>55</v>
      </c>
      <c r="N279" s="1">
        <v>7</v>
      </c>
      <c r="O279" s="1">
        <v>291</v>
      </c>
      <c r="P279" s="1">
        <v>22</v>
      </c>
      <c r="Q279" s="4">
        <v>76.601602009999993</v>
      </c>
      <c r="R279" s="1" t="s">
        <v>34</v>
      </c>
      <c r="S279" s="3">
        <v>1.3242836010000001</v>
      </c>
      <c r="T279" s="1" t="s">
        <v>47</v>
      </c>
      <c r="U279" s="1" t="s">
        <v>53</v>
      </c>
      <c r="V279" s="4">
        <v>541.58274940000001</v>
      </c>
      <c r="W279" s="8">
        <f>Table1[[#This Row],[Revenue]]-Table1[[#This Row],[Shipping costs]]-Table1[[#This Row],[Manufacturing costs]]</f>
        <v>462.21973362900007</v>
      </c>
    </row>
    <row r="280" spans="1:23" ht="14.25" customHeight="1" x14ac:dyDescent="0.25">
      <c r="A280" s="1" t="s">
        <v>21</v>
      </c>
      <c r="B280" s="1" t="s">
        <v>326</v>
      </c>
      <c r="C280" s="2">
        <v>60.42</v>
      </c>
      <c r="D280" s="1">
        <v>70</v>
      </c>
      <c r="E280" s="1">
        <v>986</v>
      </c>
      <c r="F280" s="1">
        <v>19</v>
      </c>
      <c r="G280" s="1">
        <v>9</v>
      </c>
      <c r="H280" s="1" t="str">
        <f>IF(Table1[[#This Row],[Order quantities]]&gt;Table1[[#This Row],[Availability]], "High Risk", "Low Risk")</f>
        <v>Low Risk</v>
      </c>
      <c r="I280" s="1">
        <v>2</v>
      </c>
      <c r="J280" s="1" t="s">
        <v>31</v>
      </c>
      <c r="K280" s="4">
        <v>8.3822798709999997</v>
      </c>
      <c r="L280" s="1" t="s">
        <v>32</v>
      </c>
      <c r="M280" s="1" t="s">
        <v>49</v>
      </c>
      <c r="N280" s="1">
        <v>16</v>
      </c>
      <c r="O280" s="1">
        <v>202</v>
      </c>
      <c r="P280" s="1">
        <v>3</v>
      </c>
      <c r="Q280" s="4">
        <v>37.875992410000002</v>
      </c>
      <c r="R280" s="1" t="s">
        <v>34</v>
      </c>
      <c r="S280" s="3">
        <v>1.7486596969999999</v>
      </c>
      <c r="T280" s="1" t="s">
        <v>35</v>
      </c>
      <c r="U280" s="1" t="s">
        <v>39</v>
      </c>
      <c r="V280" s="4">
        <v>969.48988550000001</v>
      </c>
      <c r="W280" s="8">
        <f>Table1[[#This Row],[Revenue]]-Table1[[#This Row],[Shipping costs]]-Table1[[#This Row],[Manufacturing costs]]</f>
        <v>923.231613219</v>
      </c>
    </row>
    <row r="281" spans="1:23" ht="14.25" customHeight="1" x14ac:dyDescent="0.25">
      <c r="A281" s="1" t="s">
        <v>29</v>
      </c>
      <c r="B281" s="1" t="s">
        <v>327</v>
      </c>
      <c r="C281" s="2">
        <v>43.08</v>
      </c>
      <c r="D281" s="1">
        <v>73</v>
      </c>
      <c r="E281" s="1">
        <v>839</v>
      </c>
      <c r="F281" s="1">
        <v>22</v>
      </c>
      <c r="G281" s="1">
        <v>92</v>
      </c>
      <c r="H281" s="1" t="str">
        <f>IF(Table1[[#This Row],[Order quantities]]&gt;Table1[[#This Row],[Availability]], "High Risk", "Low Risk")</f>
        <v>High Risk</v>
      </c>
      <c r="I281" s="1">
        <v>4</v>
      </c>
      <c r="J281" s="1" t="s">
        <v>31</v>
      </c>
      <c r="K281" s="4">
        <v>6.8387240250000003</v>
      </c>
      <c r="L281" s="1" t="s">
        <v>38</v>
      </c>
      <c r="M281" s="1" t="s">
        <v>62</v>
      </c>
      <c r="N281" s="1">
        <v>3</v>
      </c>
      <c r="O281" s="1">
        <v>495</v>
      </c>
      <c r="P281" s="1">
        <v>10</v>
      </c>
      <c r="Q281" s="4">
        <v>87.287682309999994</v>
      </c>
      <c r="R281" s="1" t="s">
        <v>34</v>
      </c>
      <c r="S281" s="3">
        <v>2.9868662490000002</v>
      </c>
      <c r="T281" s="1" t="s">
        <v>35</v>
      </c>
      <c r="U281" s="1" t="s">
        <v>28</v>
      </c>
      <c r="V281" s="4">
        <v>849.01414739999996</v>
      </c>
      <c r="W281" s="8">
        <f>Table1[[#This Row],[Revenue]]-Table1[[#This Row],[Shipping costs]]-Table1[[#This Row],[Manufacturing costs]]</f>
        <v>754.88774106499989</v>
      </c>
    </row>
    <row r="282" spans="1:23" ht="14.25" customHeight="1" x14ac:dyDescent="0.25">
      <c r="A282" s="1" t="s">
        <v>21</v>
      </c>
      <c r="B282" s="1" t="s">
        <v>328</v>
      </c>
      <c r="C282" s="2">
        <v>48.89</v>
      </c>
      <c r="D282" s="1">
        <v>95</v>
      </c>
      <c r="E282" s="1">
        <v>344</v>
      </c>
      <c r="F282" s="1">
        <v>29</v>
      </c>
      <c r="G282" s="1">
        <v>6</v>
      </c>
      <c r="H282" s="1" t="str">
        <f>IF(Table1[[#This Row],[Order quantities]]&gt;Table1[[#This Row],[Availability]], "High Risk", "Low Risk")</f>
        <v>Low Risk</v>
      </c>
      <c r="I282" s="1">
        <v>6</v>
      </c>
      <c r="J282" s="1" t="s">
        <v>31</v>
      </c>
      <c r="K282" s="4">
        <v>4.7707279639999998</v>
      </c>
      <c r="L282" s="1" t="s">
        <v>32</v>
      </c>
      <c r="M282" s="1" t="s">
        <v>55</v>
      </c>
      <c r="N282" s="1">
        <v>26</v>
      </c>
      <c r="O282" s="1">
        <v>106</v>
      </c>
      <c r="P282" s="1">
        <v>1</v>
      </c>
      <c r="Q282" s="4">
        <v>73.040937889999995</v>
      </c>
      <c r="R282" s="1" t="s">
        <v>34</v>
      </c>
      <c r="S282" s="3">
        <v>2.3266693639999998</v>
      </c>
      <c r="T282" s="1" t="s">
        <v>27</v>
      </c>
      <c r="U282" s="1" t="s">
        <v>39</v>
      </c>
      <c r="V282" s="4">
        <v>356.14923809999999</v>
      </c>
      <c r="W282" s="8">
        <f>Table1[[#This Row],[Revenue]]-Table1[[#This Row],[Shipping costs]]-Table1[[#This Row],[Manufacturing costs]]</f>
        <v>278.33757224599998</v>
      </c>
    </row>
    <row r="283" spans="1:23" ht="14.25" customHeight="1" x14ac:dyDescent="0.25">
      <c r="A283" s="1" t="s">
        <v>29</v>
      </c>
      <c r="B283" s="1" t="s">
        <v>329</v>
      </c>
      <c r="C283" s="2">
        <v>94.99</v>
      </c>
      <c r="D283" s="1">
        <v>97</v>
      </c>
      <c r="E283" s="1">
        <v>813</v>
      </c>
      <c r="F283" s="1">
        <v>24</v>
      </c>
      <c r="G283" s="1">
        <v>29</v>
      </c>
      <c r="H283" s="1" t="str">
        <f>IF(Table1[[#This Row],[Order quantities]]&gt;Table1[[#This Row],[Availability]], "High Risk", "Low Risk")</f>
        <v>Low Risk</v>
      </c>
      <c r="I283" s="1">
        <v>9</v>
      </c>
      <c r="J283" s="1" t="s">
        <v>43</v>
      </c>
      <c r="K283" s="4">
        <v>5.1222575490000004</v>
      </c>
      <c r="L283" s="1" t="s">
        <v>41</v>
      </c>
      <c r="M283" s="1" t="s">
        <v>62</v>
      </c>
      <c r="N283" s="1">
        <v>16</v>
      </c>
      <c r="O283" s="1">
        <v>739</v>
      </c>
      <c r="P283" s="1">
        <v>28</v>
      </c>
      <c r="Q283" s="4">
        <v>46.163211269999998</v>
      </c>
      <c r="R283" s="1" t="s">
        <v>34</v>
      </c>
      <c r="S283" s="3">
        <v>3.7512095680000002</v>
      </c>
      <c r="T283" s="1" t="s">
        <v>47</v>
      </c>
      <c r="U283" s="1" t="s">
        <v>53</v>
      </c>
      <c r="V283" s="4">
        <v>427.03588760000002</v>
      </c>
      <c r="W283" s="8">
        <f>Table1[[#This Row],[Revenue]]-Table1[[#This Row],[Shipping costs]]-Table1[[#This Row],[Manufacturing costs]]</f>
        <v>375.75041878100006</v>
      </c>
    </row>
    <row r="284" spans="1:23" ht="14.25" customHeight="1" x14ac:dyDescent="0.25">
      <c r="A284" s="1" t="s">
        <v>21</v>
      </c>
      <c r="B284" s="1" t="s">
        <v>330</v>
      </c>
      <c r="C284" s="2">
        <v>19.57</v>
      </c>
      <c r="D284" s="1">
        <v>62</v>
      </c>
      <c r="E284" s="1">
        <v>963</v>
      </c>
      <c r="F284" s="1">
        <v>20</v>
      </c>
      <c r="G284" s="1">
        <v>58</v>
      </c>
      <c r="H284" s="1" t="str">
        <f>IF(Table1[[#This Row],[Order quantities]]&gt;Table1[[#This Row],[Availability]], "High Risk", "Low Risk")</f>
        <v>Low Risk</v>
      </c>
      <c r="I284" s="1">
        <v>8</v>
      </c>
      <c r="J284" s="1" t="s">
        <v>43</v>
      </c>
      <c r="K284" s="4">
        <v>3.3098248649999999</v>
      </c>
      <c r="L284" s="1" t="s">
        <v>41</v>
      </c>
      <c r="M284" s="1" t="s">
        <v>33</v>
      </c>
      <c r="N284" s="1">
        <v>8</v>
      </c>
      <c r="O284" s="1">
        <v>666</v>
      </c>
      <c r="P284" s="1">
        <v>14</v>
      </c>
      <c r="Q284" s="4">
        <v>16.867220880000001</v>
      </c>
      <c r="R284" s="1" t="s">
        <v>34</v>
      </c>
      <c r="S284" s="3">
        <v>1.146479772</v>
      </c>
      <c r="T284" s="1" t="s">
        <v>35</v>
      </c>
      <c r="U284" s="1" t="s">
        <v>28</v>
      </c>
      <c r="V284" s="4">
        <v>518.06102550000003</v>
      </c>
      <c r="W284" s="8">
        <f>Table1[[#This Row],[Revenue]]-Table1[[#This Row],[Shipping costs]]-Table1[[#This Row],[Manufacturing costs]]</f>
        <v>497.88397975500004</v>
      </c>
    </row>
    <row r="285" spans="1:23" ht="14.25" customHeight="1" x14ac:dyDescent="0.25">
      <c r="A285" s="1" t="s">
        <v>21</v>
      </c>
      <c r="B285" s="1" t="s">
        <v>331</v>
      </c>
      <c r="C285" s="2">
        <v>60.69</v>
      </c>
      <c r="D285" s="1">
        <v>27</v>
      </c>
      <c r="E285" s="1">
        <v>800</v>
      </c>
      <c r="F285" s="1">
        <v>29</v>
      </c>
      <c r="G285" s="1">
        <v>17</v>
      </c>
      <c r="H285" s="1" t="str">
        <f>IF(Table1[[#This Row],[Order quantities]]&gt;Table1[[#This Row],[Availability]], "High Risk", "Low Risk")</f>
        <v>Low Risk</v>
      </c>
      <c r="I285" s="1">
        <v>8</v>
      </c>
      <c r="J285" s="1" t="s">
        <v>31</v>
      </c>
      <c r="K285" s="4">
        <v>7.7690289940000001</v>
      </c>
      <c r="L285" s="1" t="s">
        <v>24</v>
      </c>
      <c r="M285" s="1" t="s">
        <v>62</v>
      </c>
      <c r="N285" s="1">
        <v>30</v>
      </c>
      <c r="O285" s="1">
        <v>330</v>
      </c>
      <c r="P285" s="1">
        <v>4</v>
      </c>
      <c r="Q285" s="4">
        <v>75.943016549999996</v>
      </c>
      <c r="R285" s="1" t="s">
        <v>26</v>
      </c>
      <c r="S285" s="3">
        <v>0.15229421000000001</v>
      </c>
      <c r="T285" s="1" t="s">
        <v>47</v>
      </c>
      <c r="U285" s="1" t="s">
        <v>53</v>
      </c>
      <c r="V285" s="4">
        <v>981.03668230000005</v>
      </c>
      <c r="W285" s="8">
        <f>Table1[[#This Row],[Revenue]]-Table1[[#This Row],[Shipping costs]]-Table1[[#This Row],[Manufacturing costs]]</f>
        <v>897.32463675600002</v>
      </c>
    </row>
    <row r="286" spans="1:23" ht="14.25" customHeight="1" x14ac:dyDescent="0.25">
      <c r="A286" s="1" t="s">
        <v>29</v>
      </c>
      <c r="B286" s="1" t="s">
        <v>332</v>
      </c>
      <c r="C286" s="2">
        <v>53.06</v>
      </c>
      <c r="D286" s="1">
        <v>59</v>
      </c>
      <c r="E286" s="1">
        <v>0</v>
      </c>
      <c r="F286" s="1">
        <v>24</v>
      </c>
      <c r="G286" s="1">
        <v>16</v>
      </c>
      <c r="H286" s="1" t="str">
        <f>IF(Table1[[#This Row],[Order quantities]]&gt;Table1[[#This Row],[Availability]], "High Risk", "Low Risk")</f>
        <v>Low Risk</v>
      </c>
      <c r="I286" s="1">
        <v>7</v>
      </c>
      <c r="J286" s="1" t="s">
        <v>43</v>
      </c>
      <c r="K286" s="4">
        <v>5.6158726809999999</v>
      </c>
      <c r="L286" s="1" t="s">
        <v>44</v>
      </c>
      <c r="M286" s="1" t="s">
        <v>49</v>
      </c>
      <c r="N286" s="1">
        <v>12</v>
      </c>
      <c r="O286" s="1">
        <v>973</v>
      </c>
      <c r="P286" s="1">
        <v>26</v>
      </c>
      <c r="Q286" s="4">
        <v>65.519628040000001</v>
      </c>
      <c r="R286" s="1" t="s">
        <v>34</v>
      </c>
      <c r="S286" s="3">
        <v>3.9051316119999999</v>
      </c>
      <c r="T286" s="1" t="s">
        <v>47</v>
      </c>
      <c r="U286" s="1" t="s">
        <v>28</v>
      </c>
      <c r="V286" s="4">
        <v>255.1514215</v>
      </c>
      <c r="W286" s="8">
        <f>Table1[[#This Row],[Revenue]]-Table1[[#This Row],[Shipping costs]]-Table1[[#This Row],[Manufacturing costs]]</f>
        <v>184.015920779</v>
      </c>
    </row>
    <row r="287" spans="1:23" ht="14.25" customHeight="1" x14ac:dyDescent="0.25">
      <c r="A287" s="1" t="s">
        <v>21</v>
      </c>
      <c r="B287" s="1" t="s">
        <v>333</v>
      </c>
      <c r="C287" s="2">
        <v>6.72</v>
      </c>
      <c r="D287" s="1">
        <v>93</v>
      </c>
      <c r="E287" s="1">
        <v>286</v>
      </c>
      <c r="F287" s="1">
        <v>10</v>
      </c>
      <c r="G287" s="1">
        <v>95</v>
      </c>
      <c r="H287" s="1" t="str">
        <f>IF(Table1[[#This Row],[Order quantities]]&gt;Table1[[#This Row],[Availability]], "High Risk", "Low Risk")</f>
        <v>High Risk</v>
      </c>
      <c r="I287" s="1">
        <v>2</v>
      </c>
      <c r="J287" s="1" t="s">
        <v>31</v>
      </c>
      <c r="K287" s="4">
        <v>6.3644510419999998</v>
      </c>
      <c r="L287" s="1" t="s">
        <v>44</v>
      </c>
      <c r="M287" s="1" t="s">
        <v>55</v>
      </c>
      <c r="N287" s="1">
        <v>17</v>
      </c>
      <c r="O287" s="1">
        <v>339</v>
      </c>
      <c r="P287" s="1">
        <v>6</v>
      </c>
      <c r="Q287" s="4">
        <v>10.84778704</v>
      </c>
      <c r="R287" s="1" t="s">
        <v>26</v>
      </c>
      <c r="S287" s="3">
        <v>0.39145279900000002</v>
      </c>
      <c r="T287" s="1" t="s">
        <v>35</v>
      </c>
      <c r="U287" s="1" t="s">
        <v>39</v>
      </c>
      <c r="V287" s="4">
        <v>756.4834846</v>
      </c>
      <c r="W287" s="8">
        <f>Table1[[#This Row],[Revenue]]-Table1[[#This Row],[Shipping costs]]-Table1[[#This Row],[Manufacturing costs]]</f>
        <v>739.271246518</v>
      </c>
    </row>
    <row r="288" spans="1:23" ht="14.25" customHeight="1" x14ac:dyDescent="0.25">
      <c r="A288" s="1" t="s">
        <v>29</v>
      </c>
      <c r="B288" s="1" t="s">
        <v>334</v>
      </c>
      <c r="C288" s="2">
        <v>87.85</v>
      </c>
      <c r="D288" s="1">
        <v>36</v>
      </c>
      <c r="E288" s="1">
        <v>975</v>
      </c>
      <c r="F288" s="1">
        <v>9</v>
      </c>
      <c r="G288" s="1">
        <v>3</v>
      </c>
      <c r="H288" s="1" t="str">
        <f>IF(Table1[[#This Row],[Order quantities]]&gt;Table1[[#This Row],[Availability]], "High Risk", "Low Risk")</f>
        <v>Low Risk</v>
      </c>
      <c r="I288" s="1">
        <v>3</v>
      </c>
      <c r="J288" s="1" t="s">
        <v>43</v>
      </c>
      <c r="K288" s="4">
        <v>9.9616100680000006</v>
      </c>
      <c r="L288" s="1" t="s">
        <v>24</v>
      </c>
      <c r="M288" s="1" t="s">
        <v>46</v>
      </c>
      <c r="N288" s="1">
        <v>21</v>
      </c>
      <c r="O288" s="1">
        <v>189</v>
      </c>
      <c r="P288" s="1">
        <v>11</v>
      </c>
      <c r="Q288" s="4">
        <v>82.791367589999993</v>
      </c>
      <c r="R288" s="1" t="s">
        <v>51</v>
      </c>
      <c r="S288" s="3">
        <v>3.0934468590000002</v>
      </c>
      <c r="T288" s="1" t="s">
        <v>27</v>
      </c>
      <c r="U288" s="1" t="s">
        <v>39</v>
      </c>
      <c r="V288" s="4">
        <v>967.54936080000004</v>
      </c>
      <c r="W288" s="8">
        <f>Table1[[#This Row],[Revenue]]-Table1[[#This Row],[Shipping costs]]-Table1[[#This Row],[Manufacturing costs]]</f>
        <v>874.79638314199997</v>
      </c>
    </row>
    <row r="289" spans="1:23" ht="14.25" customHeight="1" x14ac:dyDescent="0.25">
      <c r="A289" s="1" t="s">
        <v>29</v>
      </c>
      <c r="B289" s="1" t="s">
        <v>335</v>
      </c>
      <c r="C289" s="2">
        <v>93.55</v>
      </c>
      <c r="D289" s="1">
        <v>92</v>
      </c>
      <c r="E289" s="1">
        <v>653</v>
      </c>
      <c r="F289" s="1">
        <v>25</v>
      </c>
      <c r="G289" s="1">
        <v>21</v>
      </c>
      <c r="H289" s="1" t="str">
        <f>IF(Table1[[#This Row],[Order quantities]]&gt;Table1[[#This Row],[Availability]], "High Risk", "Low Risk")</f>
        <v>Low Risk</v>
      </c>
      <c r="I289" s="1">
        <v>8</v>
      </c>
      <c r="J289" s="1" t="s">
        <v>23</v>
      </c>
      <c r="K289" s="4">
        <v>4.9173605169999997</v>
      </c>
      <c r="L289" s="1" t="s">
        <v>41</v>
      </c>
      <c r="M289" s="1" t="s">
        <v>55</v>
      </c>
      <c r="N289" s="1">
        <v>18</v>
      </c>
      <c r="O289" s="1">
        <v>331</v>
      </c>
      <c r="P289" s="1">
        <v>12</v>
      </c>
      <c r="Q289" s="4">
        <v>33.345976489999998</v>
      </c>
      <c r="R289" s="1" t="s">
        <v>34</v>
      </c>
      <c r="S289" s="3">
        <v>1.953213241</v>
      </c>
      <c r="T289" s="1" t="s">
        <v>47</v>
      </c>
      <c r="U289" s="1" t="s">
        <v>39</v>
      </c>
      <c r="V289" s="4">
        <v>240.10769149999999</v>
      </c>
      <c r="W289" s="8">
        <f>Table1[[#This Row],[Revenue]]-Table1[[#This Row],[Shipping costs]]-Table1[[#This Row],[Manufacturing costs]]</f>
        <v>201.844354493</v>
      </c>
    </row>
    <row r="290" spans="1:23" ht="14.25" customHeight="1" x14ac:dyDescent="0.25">
      <c r="A290" s="1" t="s">
        <v>21</v>
      </c>
      <c r="B290" s="1" t="s">
        <v>336</v>
      </c>
      <c r="C290" s="2">
        <v>58.69</v>
      </c>
      <c r="D290" s="1">
        <v>21</v>
      </c>
      <c r="E290" s="1">
        <v>52</v>
      </c>
      <c r="F290" s="1">
        <v>8</v>
      </c>
      <c r="G290" s="1">
        <v>64</v>
      </c>
      <c r="H290" s="1" t="str">
        <f>IF(Table1[[#This Row],[Order quantities]]&gt;Table1[[#This Row],[Availability]], "High Risk", "Low Risk")</f>
        <v>High Risk</v>
      </c>
      <c r="I290" s="1">
        <v>6</v>
      </c>
      <c r="J290" s="1" t="s">
        <v>31</v>
      </c>
      <c r="K290" s="4">
        <v>9.2862226069999991</v>
      </c>
      <c r="L290" s="1" t="s">
        <v>38</v>
      </c>
      <c r="M290" s="1" t="s">
        <v>55</v>
      </c>
      <c r="N290" s="1">
        <v>11</v>
      </c>
      <c r="O290" s="1">
        <v>556</v>
      </c>
      <c r="P290" s="1">
        <v>10</v>
      </c>
      <c r="Q290" s="4">
        <v>67.252030099999999</v>
      </c>
      <c r="R290" s="1" t="s">
        <v>26</v>
      </c>
      <c r="S290" s="3">
        <v>3.9900887100000002</v>
      </c>
      <c r="T290" s="1" t="s">
        <v>47</v>
      </c>
      <c r="U290" s="1" t="s">
        <v>28</v>
      </c>
      <c r="V290" s="4">
        <v>304.6419588</v>
      </c>
      <c r="W290" s="8">
        <f>Table1[[#This Row],[Revenue]]-Table1[[#This Row],[Shipping costs]]-Table1[[#This Row],[Manufacturing costs]]</f>
        <v>228.10370609299997</v>
      </c>
    </row>
    <row r="291" spans="1:23" ht="14.25" customHeight="1" x14ac:dyDescent="0.25">
      <c r="A291" s="1" t="s">
        <v>29</v>
      </c>
      <c r="B291" s="1" t="s">
        <v>337</v>
      </c>
      <c r="C291" s="2">
        <v>71.180000000000007</v>
      </c>
      <c r="D291" s="1">
        <v>67</v>
      </c>
      <c r="E291" s="1">
        <v>303</v>
      </c>
      <c r="F291" s="1">
        <v>26</v>
      </c>
      <c r="G291" s="1">
        <v>90</v>
      </c>
      <c r="H291" s="1" t="str">
        <f>IF(Table1[[#This Row],[Order quantities]]&gt;Table1[[#This Row],[Availability]], "High Risk", "Low Risk")</f>
        <v>High Risk</v>
      </c>
      <c r="I291" s="1">
        <v>9</v>
      </c>
      <c r="J291" s="1" t="s">
        <v>31</v>
      </c>
      <c r="K291" s="4">
        <v>4.1051515590000003</v>
      </c>
      <c r="L291" s="1" t="s">
        <v>41</v>
      </c>
      <c r="M291" s="1" t="s">
        <v>55</v>
      </c>
      <c r="N291" s="1">
        <v>4</v>
      </c>
      <c r="O291" s="1">
        <v>332</v>
      </c>
      <c r="P291" s="1">
        <v>18</v>
      </c>
      <c r="Q291" s="4">
        <v>50.879297780000002</v>
      </c>
      <c r="R291" s="1" t="s">
        <v>51</v>
      </c>
      <c r="S291" s="3">
        <v>4.3846313160000001</v>
      </c>
      <c r="T291" s="1" t="s">
        <v>47</v>
      </c>
      <c r="U291" s="1" t="s">
        <v>39</v>
      </c>
      <c r="V291" s="4">
        <v>303.12520699999999</v>
      </c>
      <c r="W291" s="8">
        <f>Table1[[#This Row],[Revenue]]-Table1[[#This Row],[Shipping costs]]-Table1[[#This Row],[Manufacturing costs]]</f>
        <v>248.14075766100001</v>
      </c>
    </row>
    <row r="292" spans="1:23" ht="14.25" customHeight="1" x14ac:dyDescent="0.25">
      <c r="A292" s="1" t="s">
        <v>21</v>
      </c>
      <c r="B292" s="1" t="s">
        <v>338</v>
      </c>
      <c r="C292" s="2">
        <v>92.64</v>
      </c>
      <c r="D292" s="1">
        <v>19</v>
      </c>
      <c r="E292" s="1">
        <v>68</v>
      </c>
      <c r="F292" s="1">
        <v>30</v>
      </c>
      <c r="G292" s="1">
        <v>36</v>
      </c>
      <c r="H292" s="1" t="str">
        <f>IF(Table1[[#This Row],[Order quantities]]&gt;Table1[[#This Row],[Availability]], "High Risk", "Low Risk")</f>
        <v>High Risk</v>
      </c>
      <c r="I292" s="1">
        <v>4</v>
      </c>
      <c r="J292" s="1" t="s">
        <v>43</v>
      </c>
      <c r="K292" s="4">
        <v>1.492594362</v>
      </c>
      <c r="L292" s="1" t="s">
        <v>44</v>
      </c>
      <c r="M292" s="1" t="s">
        <v>33</v>
      </c>
      <c r="N292" s="1">
        <v>16</v>
      </c>
      <c r="O292" s="1">
        <v>453</v>
      </c>
      <c r="P292" s="1">
        <v>7</v>
      </c>
      <c r="Q292" s="4">
        <v>87.708701309999995</v>
      </c>
      <c r="R292" s="1" t="s">
        <v>51</v>
      </c>
      <c r="S292" s="3">
        <v>4.2699184570000002</v>
      </c>
      <c r="T292" s="1" t="s">
        <v>27</v>
      </c>
      <c r="U292" s="1" t="s">
        <v>28</v>
      </c>
      <c r="V292" s="4">
        <v>118.8388265</v>
      </c>
      <c r="W292" s="8">
        <f>Table1[[#This Row],[Revenue]]-Table1[[#This Row],[Shipping costs]]-Table1[[#This Row],[Manufacturing costs]]</f>
        <v>29.637530827999996</v>
      </c>
    </row>
    <row r="293" spans="1:23" ht="14.25" customHeight="1" x14ac:dyDescent="0.25">
      <c r="A293" s="1" t="s">
        <v>21</v>
      </c>
      <c r="B293" s="1" t="s">
        <v>339</v>
      </c>
      <c r="C293" s="2">
        <v>72.19</v>
      </c>
      <c r="D293" s="1">
        <v>95</v>
      </c>
      <c r="E293" s="1">
        <v>360</v>
      </c>
      <c r="F293" s="1">
        <v>29</v>
      </c>
      <c r="G293" s="1">
        <v>86</v>
      </c>
      <c r="H293" s="1" t="str">
        <f>IF(Table1[[#This Row],[Order quantities]]&gt;Table1[[#This Row],[Availability]], "High Risk", "Low Risk")</f>
        <v>Low Risk</v>
      </c>
      <c r="I293" s="1">
        <v>8</v>
      </c>
      <c r="J293" s="1" t="s">
        <v>23</v>
      </c>
      <c r="K293" s="4">
        <v>2.8381789569999998</v>
      </c>
      <c r="L293" s="1" t="s">
        <v>38</v>
      </c>
      <c r="M293" s="1" t="s">
        <v>62</v>
      </c>
      <c r="N293" s="1">
        <v>17</v>
      </c>
      <c r="O293" s="1">
        <v>432</v>
      </c>
      <c r="P293" s="1">
        <v>7</v>
      </c>
      <c r="Q293" s="4">
        <v>92.526500179999999</v>
      </c>
      <c r="R293" s="1" t="s">
        <v>26</v>
      </c>
      <c r="S293" s="3">
        <v>3.9083008119999998</v>
      </c>
      <c r="T293" s="1" t="s">
        <v>27</v>
      </c>
      <c r="U293" s="1" t="s">
        <v>28</v>
      </c>
      <c r="V293" s="4">
        <v>643.70406249999996</v>
      </c>
      <c r="W293" s="8">
        <f>Table1[[#This Row],[Revenue]]-Table1[[#This Row],[Shipping costs]]-Table1[[#This Row],[Manufacturing costs]]</f>
        <v>548.33938336300002</v>
      </c>
    </row>
    <row r="294" spans="1:23" ht="14.25" customHeight="1" x14ac:dyDescent="0.25">
      <c r="A294" s="1" t="s">
        <v>29</v>
      </c>
      <c r="B294" s="1" t="s">
        <v>340</v>
      </c>
      <c r="C294" s="2">
        <v>19.489999999999998</v>
      </c>
      <c r="D294" s="1">
        <v>99</v>
      </c>
      <c r="E294" s="1">
        <v>601</v>
      </c>
      <c r="F294" s="1">
        <v>10</v>
      </c>
      <c r="G294" s="1">
        <v>62</v>
      </c>
      <c r="H294" s="1" t="str">
        <f>IF(Table1[[#This Row],[Order quantities]]&gt;Table1[[#This Row],[Availability]], "High Risk", "Low Risk")</f>
        <v>Low Risk</v>
      </c>
      <c r="I294" s="1">
        <v>3</v>
      </c>
      <c r="J294" s="1" t="s">
        <v>23</v>
      </c>
      <c r="K294" s="4">
        <v>4.7682562900000001</v>
      </c>
      <c r="L294" s="1" t="s">
        <v>41</v>
      </c>
      <c r="M294" s="1" t="s">
        <v>55</v>
      </c>
      <c r="N294" s="1">
        <v>9</v>
      </c>
      <c r="O294" s="1">
        <v>538</v>
      </c>
      <c r="P294" s="1">
        <v>11</v>
      </c>
      <c r="Q294" s="4">
        <v>99.712694139999996</v>
      </c>
      <c r="R294" s="1" t="s">
        <v>26</v>
      </c>
      <c r="S294" s="3">
        <v>1.4183559210000001</v>
      </c>
      <c r="T294" s="1" t="s">
        <v>27</v>
      </c>
      <c r="U294" s="1" t="s">
        <v>28</v>
      </c>
      <c r="V294" s="4">
        <v>703.63276670000005</v>
      </c>
      <c r="W294" s="8">
        <f>Table1[[#This Row],[Revenue]]-Table1[[#This Row],[Shipping costs]]-Table1[[#This Row],[Manufacturing costs]]</f>
        <v>599.15181627000015</v>
      </c>
    </row>
    <row r="295" spans="1:23" ht="14.25" customHeight="1" x14ac:dyDescent="0.25">
      <c r="A295" s="1" t="s">
        <v>29</v>
      </c>
      <c r="B295" s="1" t="s">
        <v>341</v>
      </c>
      <c r="C295" s="2">
        <v>59.75</v>
      </c>
      <c r="D295" s="1">
        <v>67</v>
      </c>
      <c r="E295" s="1">
        <v>957</v>
      </c>
      <c r="F295" s="1">
        <v>17</v>
      </c>
      <c r="G295" s="1">
        <v>42</v>
      </c>
      <c r="H295" s="1" t="str">
        <f>IF(Table1[[#This Row],[Order quantities]]&gt;Table1[[#This Row],[Availability]], "High Risk", "Low Risk")</f>
        <v>Low Risk</v>
      </c>
      <c r="I295" s="1">
        <v>3</v>
      </c>
      <c r="J295" s="1" t="s">
        <v>43</v>
      </c>
      <c r="K295" s="4">
        <v>2.9767143570000001</v>
      </c>
      <c r="L295" s="1" t="s">
        <v>44</v>
      </c>
      <c r="M295" s="1" t="s">
        <v>55</v>
      </c>
      <c r="N295" s="1">
        <v>6</v>
      </c>
      <c r="O295" s="1">
        <v>474</v>
      </c>
      <c r="P295" s="1">
        <v>4</v>
      </c>
      <c r="Q295" s="4">
        <v>23.831572220000002</v>
      </c>
      <c r="R295" s="1" t="s">
        <v>34</v>
      </c>
      <c r="S295" s="3">
        <v>4.0782592529999997</v>
      </c>
      <c r="T295" s="1" t="s">
        <v>35</v>
      </c>
      <c r="U295" s="1" t="s">
        <v>53</v>
      </c>
      <c r="V295" s="4">
        <v>642.27330110000003</v>
      </c>
      <c r="W295" s="8">
        <f>Table1[[#This Row],[Revenue]]-Table1[[#This Row],[Shipping costs]]-Table1[[#This Row],[Manufacturing costs]]</f>
        <v>615.46501452300004</v>
      </c>
    </row>
    <row r="296" spans="1:23" ht="14.25" customHeight="1" x14ac:dyDescent="0.25">
      <c r="A296" s="1" t="s">
        <v>29</v>
      </c>
      <c r="B296" s="1" t="s">
        <v>342</v>
      </c>
      <c r="C296" s="2">
        <v>62.64</v>
      </c>
      <c r="D296" s="1">
        <v>90</v>
      </c>
      <c r="E296" s="1">
        <v>219</v>
      </c>
      <c r="F296" s="1">
        <v>2</v>
      </c>
      <c r="G296" s="1">
        <v>76</v>
      </c>
      <c r="H296" s="1" t="str">
        <f>IF(Table1[[#This Row],[Order quantities]]&gt;Table1[[#This Row],[Availability]], "High Risk", "Low Risk")</f>
        <v>Low Risk</v>
      </c>
      <c r="I296" s="1">
        <v>8</v>
      </c>
      <c r="J296" s="1" t="s">
        <v>23</v>
      </c>
      <c r="K296" s="4">
        <v>1.0020433440000001</v>
      </c>
      <c r="L296" s="1" t="s">
        <v>38</v>
      </c>
      <c r="M296" s="1" t="s">
        <v>49</v>
      </c>
      <c r="N296" s="1">
        <v>24</v>
      </c>
      <c r="O296" s="1">
        <v>391</v>
      </c>
      <c r="P296" s="1">
        <v>20</v>
      </c>
      <c r="Q296" s="4">
        <v>87.666764180000001</v>
      </c>
      <c r="R296" s="1" t="s">
        <v>34</v>
      </c>
      <c r="S296" s="3">
        <v>2.714044532</v>
      </c>
      <c r="T296" s="1" t="s">
        <v>35</v>
      </c>
      <c r="U296" s="1" t="s">
        <v>28</v>
      </c>
      <c r="V296" s="4">
        <v>164.19069049999999</v>
      </c>
      <c r="W296" s="8">
        <f>Table1[[#This Row],[Revenue]]-Table1[[#This Row],[Shipping costs]]-Table1[[#This Row],[Manufacturing costs]]</f>
        <v>75.521882976000001</v>
      </c>
    </row>
    <row r="297" spans="1:23" ht="14.25" customHeight="1" x14ac:dyDescent="0.25">
      <c r="A297" s="1" t="s">
        <v>29</v>
      </c>
      <c r="B297" s="1" t="s">
        <v>343</v>
      </c>
      <c r="C297" s="2">
        <v>45.29</v>
      </c>
      <c r="D297" s="1">
        <v>63</v>
      </c>
      <c r="E297" s="1">
        <v>961</v>
      </c>
      <c r="F297" s="1">
        <v>6</v>
      </c>
      <c r="G297" s="1">
        <v>42</v>
      </c>
      <c r="H297" s="1" t="str">
        <f>IF(Table1[[#This Row],[Order quantities]]&gt;Table1[[#This Row],[Availability]], "High Risk", "Low Risk")</f>
        <v>Low Risk</v>
      </c>
      <c r="I297" s="1">
        <v>5</v>
      </c>
      <c r="J297" s="1" t="s">
        <v>43</v>
      </c>
      <c r="K297" s="4">
        <v>9.2350138400000006</v>
      </c>
      <c r="L297" s="1" t="s">
        <v>24</v>
      </c>
      <c r="M297" s="1" t="s">
        <v>46</v>
      </c>
      <c r="N297" s="1">
        <v>27</v>
      </c>
      <c r="O297" s="1">
        <v>444</v>
      </c>
      <c r="P297" s="1">
        <v>1</v>
      </c>
      <c r="Q297" s="4">
        <v>33.94192391</v>
      </c>
      <c r="R297" s="1" t="s">
        <v>26</v>
      </c>
      <c r="S297" s="3">
        <v>0.358507413</v>
      </c>
      <c r="T297" s="1" t="s">
        <v>35</v>
      </c>
      <c r="U297" s="1" t="s">
        <v>37</v>
      </c>
      <c r="V297" s="4">
        <v>162.3071132</v>
      </c>
      <c r="W297" s="8">
        <f>Table1[[#This Row],[Revenue]]-Table1[[#This Row],[Shipping costs]]-Table1[[#This Row],[Manufacturing costs]]</f>
        <v>119.13017545000001</v>
      </c>
    </row>
    <row r="298" spans="1:23" ht="14.25" customHeight="1" x14ac:dyDescent="0.25">
      <c r="A298" s="1" t="s">
        <v>114</v>
      </c>
      <c r="B298" s="1" t="s">
        <v>344</v>
      </c>
      <c r="C298" s="2">
        <v>74.959999999999994</v>
      </c>
      <c r="D298" s="1">
        <v>16</v>
      </c>
      <c r="E298" s="1">
        <v>703</v>
      </c>
      <c r="F298" s="1">
        <v>26</v>
      </c>
      <c r="G298" s="1">
        <v>61</v>
      </c>
      <c r="H298" s="1" t="str">
        <f>IF(Table1[[#This Row],[Order quantities]]&gt;Table1[[#This Row],[Availability]], "High Risk", "Low Risk")</f>
        <v>High Risk</v>
      </c>
      <c r="I298" s="1">
        <v>3</v>
      </c>
      <c r="J298" s="1" t="s">
        <v>43</v>
      </c>
      <c r="K298" s="4">
        <v>8.5949147010000004</v>
      </c>
      <c r="L298" s="1" t="s">
        <v>32</v>
      </c>
      <c r="M298" s="1" t="s">
        <v>55</v>
      </c>
      <c r="N298" s="1">
        <v>20</v>
      </c>
      <c r="O298" s="1">
        <v>763</v>
      </c>
      <c r="P298" s="1">
        <v>13</v>
      </c>
      <c r="Q298" s="4">
        <v>63.173428739999999</v>
      </c>
      <c r="R298" s="1" t="s">
        <v>34</v>
      </c>
      <c r="S298" s="3">
        <v>2.339000365</v>
      </c>
      <c r="T298" s="1" t="s">
        <v>35</v>
      </c>
      <c r="U298" s="1" t="s">
        <v>39</v>
      </c>
      <c r="V298" s="4">
        <v>289.34789899999998</v>
      </c>
      <c r="W298" s="8">
        <f>Table1[[#This Row],[Revenue]]-Table1[[#This Row],[Shipping costs]]-Table1[[#This Row],[Manufacturing costs]]</f>
        <v>217.579555559</v>
      </c>
    </row>
    <row r="299" spans="1:23" ht="14.25" customHeight="1" x14ac:dyDescent="0.25">
      <c r="A299" s="1" t="s">
        <v>29</v>
      </c>
      <c r="B299" s="1" t="s">
        <v>345</v>
      </c>
      <c r="C299" s="2">
        <v>93.76</v>
      </c>
      <c r="D299" s="1">
        <v>11</v>
      </c>
      <c r="E299" s="1">
        <v>965</v>
      </c>
      <c r="F299" s="1">
        <v>5</v>
      </c>
      <c r="G299" s="1">
        <v>13</v>
      </c>
      <c r="H299" s="1" t="str">
        <f>IF(Table1[[#This Row],[Order quantities]]&gt;Table1[[#This Row],[Availability]], "High Risk", "Low Risk")</f>
        <v>High Risk</v>
      </c>
      <c r="I299" s="1">
        <v>1</v>
      </c>
      <c r="J299" s="1" t="s">
        <v>43</v>
      </c>
      <c r="K299" s="4">
        <v>7.6806300829999996</v>
      </c>
      <c r="L299" s="1" t="s">
        <v>38</v>
      </c>
      <c r="M299" s="1" t="s">
        <v>55</v>
      </c>
      <c r="N299" s="1">
        <v>25</v>
      </c>
      <c r="O299" s="1">
        <v>527</v>
      </c>
      <c r="P299" s="1">
        <v>18</v>
      </c>
      <c r="Q299" s="4">
        <v>55.519555050000001</v>
      </c>
      <c r="R299" s="1" t="s">
        <v>34</v>
      </c>
      <c r="S299" s="3">
        <v>4.7165737930000002</v>
      </c>
      <c r="T299" s="1" t="s">
        <v>27</v>
      </c>
      <c r="U299" s="1" t="s">
        <v>28</v>
      </c>
      <c r="V299" s="4">
        <v>361.26506410000002</v>
      </c>
      <c r="W299" s="8">
        <f>Table1[[#This Row],[Revenue]]-Table1[[#This Row],[Shipping costs]]-Table1[[#This Row],[Manufacturing costs]]</f>
        <v>298.06487896700003</v>
      </c>
    </row>
    <row r="300" spans="1:23" ht="14.25" customHeight="1" x14ac:dyDescent="0.25">
      <c r="A300" s="1" t="s">
        <v>21</v>
      </c>
      <c r="B300" s="1" t="s">
        <v>346</v>
      </c>
      <c r="C300" s="2">
        <v>92.93</v>
      </c>
      <c r="D300" s="1">
        <v>21</v>
      </c>
      <c r="E300" s="1">
        <v>574</v>
      </c>
      <c r="F300" s="1">
        <v>28</v>
      </c>
      <c r="G300" s="1">
        <v>11</v>
      </c>
      <c r="H300" s="1" t="str">
        <f>IF(Table1[[#This Row],[Order quantities]]&gt;Table1[[#This Row],[Availability]], "High Risk", "Low Risk")</f>
        <v>Low Risk</v>
      </c>
      <c r="I300" s="1">
        <v>3</v>
      </c>
      <c r="J300" s="1" t="s">
        <v>31</v>
      </c>
      <c r="K300" s="4">
        <v>2.510331361</v>
      </c>
      <c r="L300" s="1" t="s">
        <v>24</v>
      </c>
      <c r="M300" s="1" t="s">
        <v>62</v>
      </c>
      <c r="N300" s="1">
        <v>2</v>
      </c>
      <c r="O300" s="1">
        <v>756</v>
      </c>
      <c r="P300" s="1">
        <v>9</v>
      </c>
      <c r="Q300" s="4">
        <v>11.61893184</v>
      </c>
      <c r="R300" s="1" t="s">
        <v>51</v>
      </c>
      <c r="S300" s="3">
        <v>4.4505108140000003</v>
      </c>
      <c r="T300" s="1" t="s">
        <v>35</v>
      </c>
      <c r="U300" s="1" t="s">
        <v>28</v>
      </c>
      <c r="V300" s="4">
        <v>807.88929029999997</v>
      </c>
      <c r="W300" s="8">
        <f>Table1[[#This Row],[Revenue]]-Table1[[#This Row],[Shipping costs]]-Table1[[#This Row],[Manufacturing costs]]</f>
        <v>793.76002709900001</v>
      </c>
    </row>
    <row r="301" spans="1:23" ht="14.25" customHeight="1" x14ac:dyDescent="0.25">
      <c r="A301" s="1" t="s">
        <v>29</v>
      </c>
      <c r="B301" s="1" t="s">
        <v>347</v>
      </c>
      <c r="C301" s="2">
        <v>47.83</v>
      </c>
      <c r="D301" s="1">
        <v>16</v>
      </c>
      <c r="E301" s="1">
        <v>584</v>
      </c>
      <c r="F301" s="1">
        <v>30</v>
      </c>
      <c r="G301" s="1">
        <v>54</v>
      </c>
      <c r="H301" s="1" t="str">
        <f>IF(Table1[[#This Row],[Order quantities]]&gt;Table1[[#This Row],[Availability]], "High Risk", "Low Risk")</f>
        <v>High Risk</v>
      </c>
      <c r="I301" s="1">
        <v>9</v>
      </c>
      <c r="J301" s="1" t="s">
        <v>23</v>
      </c>
      <c r="K301" s="4">
        <v>2.0832721859999999</v>
      </c>
      <c r="L301" s="1" t="s">
        <v>24</v>
      </c>
      <c r="M301" s="1" t="s">
        <v>62</v>
      </c>
      <c r="N301" s="1">
        <v>9</v>
      </c>
      <c r="O301" s="1">
        <v>229</v>
      </c>
      <c r="P301" s="1">
        <v>26</v>
      </c>
      <c r="Q301" s="4">
        <v>93.949415189999996</v>
      </c>
      <c r="R301" s="1" t="s">
        <v>34</v>
      </c>
      <c r="S301" s="3">
        <v>0.60109497700000003</v>
      </c>
      <c r="T301" s="1" t="s">
        <v>47</v>
      </c>
      <c r="U301" s="1" t="s">
        <v>28</v>
      </c>
      <c r="V301" s="4">
        <v>243.4512392</v>
      </c>
      <c r="W301" s="8">
        <f>Table1[[#This Row],[Revenue]]-Table1[[#This Row],[Shipping costs]]-Table1[[#This Row],[Manufacturing costs]]</f>
        <v>147.41855182400002</v>
      </c>
    </row>
    <row r="302" spans="1:23" ht="14.25" customHeight="1" x14ac:dyDescent="0.25">
      <c r="A302" s="1" t="s">
        <v>21</v>
      </c>
      <c r="B302" s="1" t="s">
        <v>348</v>
      </c>
      <c r="C302" s="2">
        <v>15.76</v>
      </c>
      <c r="D302" s="1">
        <v>9</v>
      </c>
      <c r="E302" s="1">
        <v>160</v>
      </c>
      <c r="F302" s="1">
        <v>9</v>
      </c>
      <c r="G302" s="1">
        <v>16</v>
      </c>
      <c r="H302" s="1" t="str">
        <f>IF(Table1[[#This Row],[Order quantities]]&gt;Table1[[#This Row],[Availability]], "High Risk", "Low Risk")</f>
        <v>High Risk</v>
      </c>
      <c r="I302" s="1">
        <v>5</v>
      </c>
      <c r="J302" s="1" t="s">
        <v>43</v>
      </c>
      <c r="K302" s="4">
        <v>1.6084427450000001</v>
      </c>
      <c r="L302" s="1" t="s">
        <v>44</v>
      </c>
      <c r="M302" s="1" t="s">
        <v>46</v>
      </c>
      <c r="N302" s="1">
        <v>28</v>
      </c>
      <c r="O302" s="1">
        <v>240</v>
      </c>
      <c r="P302" s="1">
        <v>24</v>
      </c>
      <c r="Q302" s="4">
        <v>17.049434959999999</v>
      </c>
      <c r="R302" s="1" t="s">
        <v>34</v>
      </c>
      <c r="S302" s="3">
        <v>3.7462207599999999</v>
      </c>
      <c r="T302" s="1" t="s">
        <v>47</v>
      </c>
      <c r="U302" s="1" t="s">
        <v>53</v>
      </c>
      <c r="V302" s="4">
        <v>139.68299479999999</v>
      </c>
      <c r="W302" s="8">
        <f>Table1[[#This Row],[Revenue]]-Table1[[#This Row],[Shipping costs]]-Table1[[#This Row],[Manufacturing costs]]</f>
        <v>121.025117095</v>
      </c>
    </row>
    <row r="303" spans="1:23" ht="14.25" customHeight="1" x14ac:dyDescent="0.25">
      <c r="A303" s="1" t="s">
        <v>21</v>
      </c>
      <c r="B303" s="1" t="s">
        <v>349</v>
      </c>
      <c r="C303" s="2">
        <v>98.56</v>
      </c>
      <c r="D303" s="1">
        <v>64</v>
      </c>
      <c r="E303" s="1">
        <v>680</v>
      </c>
      <c r="F303" s="1">
        <v>5</v>
      </c>
      <c r="G303" s="1">
        <v>8</v>
      </c>
      <c r="H303" s="1" t="str">
        <f>IF(Table1[[#This Row],[Order quantities]]&gt;Table1[[#This Row],[Availability]], "High Risk", "Low Risk")</f>
        <v>Low Risk</v>
      </c>
      <c r="I303" s="1">
        <v>2</v>
      </c>
      <c r="J303" s="1" t="s">
        <v>43</v>
      </c>
      <c r="K303" s="4">
        <v>7.5162626990000003</v>
      </c>
      <c r="L303" s="1" t="s">
        <v>24</v>
      </c>
      <c r="M303" s="1" t="s">
        <v>49</v>
      </c>
      <c r="N303" s="1">
        <v>21</v>
      </c>
      <c r="O303" s="1">
        <v>514</v>
      </c>
      <c r="P303" s="1">
        <v>24</v>
      </c>
      <c r="Q303" s="4">
        <v>71.939702749999995</v>
      </c>
      <c r="R303" s="1" t="s">
        <v>51</v>
      </c>
      <c r="S303" s="3">
        <v>4.0483850429999997</v>
      </c>
      <c r="T303" s="1" t="s">
        <v>35</v>
      </c>
      <c r="U303" s="1" t="s">
        <v>28</v>
      </c>
      <c r="V303" s="4">
        <v>454.58875690000002</v>
      </c>
      <c r="W303" s="8">
        <f>Table1[[#This Row],[Revenue]]-Table1[[#This Row],[Shipping costs]]-Table1[[#This Row],[Manufacturing costs]]</f>
        <v>375.13279145100006</v>
      </c>
    </row>
    <row r="304" spans="1:23" ht="14.25" customHeight="1" x14ac:dyDescent="0.25">
      <c r="A304" s="1" t="s">
        <v>21</v>
      </c>
      <c r="B304" s="1" t="s">
        <v>350</v>
      </c>
      <c r="C304" s="2">
        <v>84.7</v>
      </c>
      <c r="D304" s="1">
        <v>21</v>
      </c>
      <c r="E304" s="1">
        <v>88</v>
      </c>
      <c r="F304" s="1">
        <v>18</v>
      </c>
      <c r="G304" s="1">
        <v>59</v>
      </c>
      <c r="H304" s="1" t="str">
        <f>IF(Table1[[#This Row],[Order quantities]]&gt;Table1[[#This Row],[Availability]], "High Risk", "Low Risk")</f>
        <v>High Risk</v>
      </c>
      <c r="I304" s="1">
        <v>7</v>
      </c>
      <c r="J304" s="1" t="s">
        <v>23</v>
      </c>
      <c r="K304" s="4">
        <v>9.3592716459999998</v>
      </c>
      <c r="L304" s="1" t="s">
        <v>44</v>
      </c>
      <c r="M304" s="1" t="s">
        <v>33</v>
      </c>
      <c r="N304" s="1">
        <v>29</v>
      </c>
      <c r="O304" s="1">
        <v>192</v>
      </c>
      <c r="P304" s="1">
        <v>9</v>
      </c>
      <c r="Q304" s="4">
        <v>80.650615259999995</v>
      </c>
      <c r="R304" s="1" t="s">
        <v>26</v>
      </c>
      <c r="S304" s="3">
        <v>1.4298021219999999</v>
      </c>
      <c r="T304" s="1" t="s">
        <v>35</v>
      </c>
      <c r="U304" s="1" t="s">
        <v>28</v>
      </c>
      <c r="V304" s="4">
        <v>474.75295310000001</v>
      </c>
      <c r="W304" s="8">
        <f>Table1[[#This Row],[Revenue]]-Table1[[#This Row],[Shipping costs]]-Table1[[#This Row],[Manufacturing costs]]</f>
        <v>384.74306619399999</v>
      </c>
    </row>
    <row r="305" spans="1:23" ht="14.25" customHeight="1" x14ac:dyDescent="0.25">
      <c r="A305" s="1" t="s">
        <v>21</v>
      </c>
      <c r="B305" s="1" t="s">
        <v>351</v>
      </c>
      <c r="C305" s="2">
        <v>16.84</v>
      </c>
      <c r="D305" s="1">
        <v>89</v>
      </c>
      <c r="E305" s="1">
        <v>687</v>
      </c>
      <c r="F305" s="1">
        <v>26</v>
      </c>
      <c r="G305" s="1">
        <v>57</v>
      </c>
      <c r="H305" s="1" t="str">
        <f>IF(Table1[[#This Row],[Order quantities]]&gt;Table1[[#This Row],[Availability]], "High Risk", "Low Risk")</f>
        <v>Low Risk</v>
      </c>
      <c r="I305" s="1">
        <v>2</v>
      </c>
      <c r="J305" s="1" t="s">
        <v>31</v>
      </c>
      <c r="K305" s="4">
        <v>4.8748223880000001</v>
      </c>
      <c r="L305" s="1" t="s">
        <v>44</v>
      </c>
      <c r="M305" s="1" t="s">
        <v>49</v>
      </c>
      <c r="N305" s="1">
        <v>6</v>
      </c>
      <c r="O305" s="1">
        <v>725</v>
      </c>
      <c r="P305" s="1">
        <v>23</v>
      </c>
      <c r="Q305" s="4">
        <v>81.575906410000002</v>
      </c>
      <c r="R305" s="1" t="s">
        <v>34</v>
      </c>
      <c r="S305" s="3">
        <v>2.4108819970000002</v>
      </c>
      <c r="T305" s="1" t="s">
        <v>35</v>
      </c>
      <c r="U305" s="1" t="s">
        <v>28</v>
      </c>
      <c r="V305" s="4">
        <v>505.81660440000002</v>
      </c>
      <c r="W305" s="8">
        <f>Table1[[#This Row],[Revenue]]-Table1[[#This Row],[Shipping costs]]-Table1[[#This Row],[Manufacturing costs]]</f>
        <v>419.36587560200002</v>
      </c>
    </row>
    <row r="306" spans="1:23" ht="14.25" customHeight="1" x14ac:dyDescent="0.25">
      <c r="A306" s="1" t="s">
        <v>29</v>
      </c>
      <c r="B306" s="1" t="s">
        <v>352</v>
      </c>
      <c r="C306" s="2">
        <v>92.48</v>
      </c>
      <c r="D306" s="1">
        <v>81</v>
      </c>
      <c r="E306" s="1">
        <v>780</v>
      </c>
      <c r="F306" s="1">
        <v>20</v>
      </c>
      <c r="G306" s="1">
        <v>40</v>
      </c>
      <c r="H306" s="1" t="str">
        <f>IF(Table1[[#This Row],[Order quantities]]&gt;Table1[[#This Row],[Availability]], "High Risk", "Low Risk")</f>
        <v>Low Risk</v>
      </c>
      <c r="I306" s="1">
        <v>4</v>
      </c>
      <c r="J306" s="1" t="s">
        <v>31</v>
      </c>
      <c r="K306" s="4">
        <v>2.0722660479999999</v>
      </c>
      <c r="L306" s="1" t="s">
        <v>38</v>
      </c>
      <c r="M306" s="1" t="s">
        <v>49</v>
      </c>
      <c r="N306" s="1">
        <v>3</v>
      </c>
      <c r="O306" s="1">
        <v>383</v>
      </c>
      <c r="P306" s="1">
        <v>29</v>
      </c>
      <c r="Q306" s="4">
        <v>22.194506700000002</v>
      </c>
      <c r="R306" s="1" t="s">
        <v>51</v>
      </c>
      <c r="S306" s="3">
        <v>3.583840913</v>
      </c>
      <c r="T306" s="1" t="s">
        <v>27</v>
      </c>
      <c r="U306" s="1" t="s">
        <v>37</v>
      </c>
      <c r="V306" s="4">
        <v>844.21318959999996</v>
      </c>
      <c r="W306" s="8">
        <f>Table1[[#This Row],[Revenue]]-Table1[[#This Row],[Shipping costs]]-Table1[[#This Row],[Manufacturing costs]]</f>
        <v>819.94641685199997</v>
      </c>
    </row>
    <row r="307" spans="1:23" ht="14.25" customHeight="1" x14ac:dyDescent="0.25">
      <c r="A307" s="1" t="s">
        <v>29</v>
      </c>
      <c r="B307" s="1" t="s">
        <v>353</v>
      </c>
      <c r="C307" s="2">
        <v>87.64</v>
      </c>
      <c r="D307" s="1">
        <v>49</v>
      </c>
      <c r="E307" s="1">
        <v>584</v>
      </c>
      <c r="F307" s="1">
        <v>9</v>
      </c>
      <c r="G307" s="1">
        <v>59</v>
      </c>
      <c r="H307" s="1" t="str">
        <f>IF(Table1[[#This Row],[Order quantities]]&gt;Table1[[#This Row],[Availability]], "High Risk", "Low Risk")</f>
        <v>High Risk</v>
      </c>
      <c r="I307" s="1">
        <v>7</v>
      </c>
      <c r="J307" s="1" t="s">
        <v>31</v>
      </c>
      <c r="K307" s="4">
        <v>5.611535387</v>
      </c>
      <c r="L307" s="1" t="s">
        <v>24</v>
      </c>
      <c r="M307" s="1" t="s">
        <v>49</v>
      </c>
      <c r="N307" s="1">
        <v>20</v>
      </c>
      <c r="O307" s="1">
        <v>754</v>
      </c>
      <c r="P307" s="1">
        <v>9</v>
      </c>
      <c r="Q307" s="4">
        <v>50.281295550000003</v>
      </c>
      <c r="R307" s="1" t="s">
        <v>26</v>
      </c>
      <c r="S307" s="3">
        <v>2.251303295</v>
      </c>
      <c r="T307" s="1" t="s">
        <v>35</v>
      </c>
      <c r="U307" s="1" t="s">
        <v>53</v>
      </c>
      <c r="V307" s="4">
        <v>188.2048734</v>
      </c>
      <c r="W307" s="8">
        <f>Table1[[#This Row],[Revenue]]-Table1[[#This Row],[Shipping costs]]-Table1[[#This Row],[Manufacturing costs]]</f>
        <v>132.31204246299998</v>
      </c>
    </row>
    <row r="308" spans="1:23" ht="14.25" customHeight="1" x14ac:dyDescent="0.25">
      <c r="A308" s="1" t="s">
        <v>29</v>
      </c>
      <c r="B308" s="1" t="s">
        <v>354</v>
      </c>
      <c r="C308" s="2">
        <v>54.29</v>
      </c>
      <c r="D308" s="1">
        <v>13</v>
      </c>
      <c r="E308" s="1">
        <v>756</v>
      </c>
      <c r="F308" s="1">
        <v>17</v>
      </c>
      <c r="G308" s="1">
        <v>2</v>
      </c>
      <c r="H308" s="1" t="str">
        <f>IF(Table1[[#This Row],[Order quantities]]&gt;Table1[[#This Row],[Availability]], "High Risk", "Low Risk")</f>
        <v>Low Risk</v>
      </c>
      <c r="I308" s="1">
        <v>4</v>
      </c>
      <c r="J308" s="1" t="s">
        <v>23</v>
      </c>
      <c r="K308" s="4">
        <v>4.1394871670000004</v>
      </c>
      <c r="L308" s="1" t="s">
        <v>24</v>
      </c>
      <c r="M308" s="1" t="s">
        <v>46</v>
      </c>
      <c r="N308" s="1">
        <v>6</v>
      </c>
      <c r="O308" s="1">
        <v>322</v>
      </c>
      <c r="P308" s="1">
        <v>10</v>
      </c>
      <c r="Q308" s="4">
        <v>84.648598340000007</v>
      </c>
      <c r="R308" s="1" t="s">
        <v>51</v>
      </c>
      <c r="S308" s="3">
        <v>0.65270490199999998</v>
      </c>
      <c r="T308" s="1" t="s">
        <v>35</v>
      </c>
      <c r="U308" s="1" t="s">
        <v>39</v>
      </c>
      <c r="V308" s="4">
        <v>733.54787420000002</v>
      </c>
      <c r="W308" s="8">
        <f>Table1[[#This Row],[Revenue]]-Table1[[#This Row],[Shipping costs]]-Table1[[#This Row],[Manufacturing costs]]</f>
        <v>644.75978869300002</v>
      </c>
    </row>
    <row r="309" spans="1:23" ht="14.25" customHeight="1" x14ac:dyDescent="0.25">
      <c r="A309" s="1" t="s">
        <v>21</v>
      </c>
      <c r="B309" s="1" t="s">
        <v>355</v>
      </c>
      <c r="C309" s="2">
        <v>61.17</v>
      </c>
      <c r="D309" s="1">
        <v>63</v>
      </c>
      <c r="E309" s="1">
        <v>588</v>
      </c>
      <c r="F309" s="1">
        <v>27</v>
      </c>
      <c r="G309" s="1">
        <v>94</v>
      </c>
      <c r="H309" s="1" t="str">
        <f>IF(Table1[[#This Row],[Order quantities]]&gt;Table1[[#This Row],[Availability]], "High Risk", "Low Risk")</f>
        <v>High Risk</v>
      </c>
      <c r="I309" s="1">
        <v>7</v>
      </c>
      <c r="J309" s="1" t="s">
        <v>23</v>
      </c>
      <c r="K309" s="4">
        <v>4.3734243189999997</v>
      </c>
      <c r="L309" s="1" t="s">
        <v>38</v>
      </c>
      <c r="M309" s="1" t="s">
        <v>55</v>
      </c>
      <c r="N309" s="1">
        <v>7</v>
      </c>
      <c r="O309" s="1">
        <v>843</v>
      </c>
      <c r="P309" s="1">
        <v>28</v>
      </c>
      <c r="Q309" s="4">
        <v>37.241128930000002</v>
      </c>
      <c r="R309" s="1" t="s">
        <v>51</v>
      </c>
      <c r="S309" s="3">
        <v>3.558823979</v>
      </c>
      <c r="T309" s="1" t="s">
        <v>47</v>
      </c>
      <c r="U309" s="1" t="s">
        <v>39</v>
      </c>
      <c r="V309" s="4">
        <v>404.15101390000001</v>
      </c>
      <c r="W309" s="8">
        <f>Table1[[#This Row],[Revenue]]-Table1[[#This Row],[Shipping costs]]-Table1[[#This Row],[Manufacturing costs]]</f>
        <v>362.53646065100003</v>
      </c>
    </row>
    <row r="310" spans="1:23" ht="14.25" customHeight="1" x14ac:dyDescent="0.25">
      <c r="A310" s="1" t="s">
        <v>21</v>
      </c>
      <c r="B310" s="1" t="s">
        <v>356</v>
      </c>
      <c r="C310" s="2">
        <v>42.91</v>
      </c>
      <c r="D310" s="1">
        <v>46</v>
      </c>
      <c r="E310" s="1">
        <v>158</v>
      </c>
      <c r="F310" s="1">
        <v>17</v>
      </c>
      <c r="G310" s="1">
        <v>94</v>
      </c>
      <c r="H310" s="1" t="str">
        <f>IF(Table1[[#This Row],[Order quantities]]&gt;Table1[[#This Row],[Availability]], "High Risk", "Low Risk")</f>
        <v>High Risk</v>
      </c>
      <c r="I310" s="1">
        <v>7</v>
      </c>
      <c r="J310" s="1" t="s">
        <v>43</v>
      </c>
      <c r="K310" s="4">
        <v>6.5919756170000001</v>
      </c>
      <c r="L310" s="1" t="s">
        <v>41</v>
      </c>
      <c r="M310" s="1" t="s">
        <v>33</v>
      </c>
      <c r="N310" s="1">
        <v>1</v>
      </c>
      <c r="O310" s="1">
        <v>562</v>
      </c>
      <c r="P310" s="1">
        <v>2</v>
      </c>
      <c r="Q310" s="4">
        <v>52.097380780000002</v>
      </c>
      <c r="R310" s="1" t="s">
        <v>34</v>
      </c>
      <c r="S310" s="3">
        <v>4.5670295799999998</v>
      </c>
      <c r="T310" s="1" t="s">
        <v>27</v>
      </c>
      <c r="U310" s="1" t="s">
        <v>53</v>
      </c>
      <c r="V310" s="4">
        <v>378.98212280000001</v>
      </c>
      <c r="W310" s="8">
        <f>Table1[[#This Row],[Revenue]]-Table1[[#This Row],[Shipping costs]]-Table1[[#This Row],[Manufacturing costs]]</f>
        <v>320.29276640300003</v>
      </c>
    </row>
    <row r="311" spans="1:23" ht="14.25" customHeight="1" x14ac:dyDescent="0.25">
      <c r="A311" s="1" t="s">
        <v>21</v>
      </c>
      <c r="B311" s="1" t="s">
        <v>357</v>
      </c>
      <c r="C311" s="2">
        <v>10.199999999999999</v>
      </c>
      <c r="D311" s="1">
        <v>28</v>
      </c>
      <c r="E311" s="1">
        <v>488</v>
      </c>
      <c r="F311" s="1">
        <v>12</v>
      </c>
      <c r="G311" s="1">
        <v>76</v>
      </c>
      <c r="H311" s="1" t="str">
        <f>IF(Table1[[#This Row],[Order quantities]]&gt;Table1[[#This Row],[Availability]], "High Risk", "Low Risk")</f>
        <v>High Risk</v>
      </c>
      <c r="I311" s="1">
        <v>1</v>
      </c>
      <c r="J311" s="1" t="s">
        <v>23</v>
      </c>
      <c r="K311" s="4">
        <v>7.4684630189999996</v>
      </c>
      <c r="L311" s="1" t="s">
        <v>37</v>
      </c>
      <c r="M311" s="1" t="s">
        <v>62</v>
      </c>
      <c r="N311" s="1">
        <v>23</v>
      </c>
      <c r="O311" s="1">
        <v>644</v>
      </c>
      <c r="P311" s="1">
        <v>6</v>
      </c>
      <c r="Q311" s="4">
        <v>34.551450340000002</v>
      </c>
      <c r="R311" s="1" t="s">
        <v>51</v>
      </c>
      <c r="S311" s="3">
        <v>3.297175169</v>
      </c>
      <c r="T311" s="1" t="s">
        <v>27</v>
      </c>
      <c r="U311" s="1" t="s">
        <v>37</v>
      </c>
      <c r="V311" s="4">
        <v>939.28881349999995</v>
      </c>
      <c r="W311" s="8">
        <f>Table1[[#This Row],[Revenue]]-Table1[[#This Row],[Shipping costs]]-Table1[[#This Row],[Manufacturing costs]]</f>
        <v>897.26890014100002</v>
      </c>
    </row>
    <row r="312" spans="1:23" ht="14.25" customHeight="1" x14ac:dyDescent="0.25">
      <c r="A312" s="1" t="s">
        <v>21</v>
      </c>
      <c r="B312" s="1" t="s">
        <v>358</v>
      </c>
      <c r="C312" s="2">
        <v>36.840000000000003</v>
      </c>
      <c r="D312" s="1">
        <v>75</v>
      </c>
      <c r="E312" s="1">
        <v>970</v>
      </c>
      <c r="F312" s="1">
        <v>7</v>
      </c>
      <c r="G312" s="1">
        <v>10</v>
      </c>
      <c r="H312" s="1" t="str">
        <f>IF(Table1[[#This Row],[Order quantities]]&gt;Table1[[#This Row],[Availability]], "High Risk", "Low Risk")</f>
        <v>Low Risk</v>
      </c>
      <c r="I312" s="1">
        <v>6</v>
      </c>
      <c r="J312" s="1" t="s">
        <v>43</v>
      </c>
      <c r="K312" s="4">
        <v>1.9954323899999999</v>
      </c>
      <c r="L312" s="1" t="s">
        <v>44</v>
      </c>
      <c r="M312" s="1" t="s">
        <v>33</v>
      </c>
      <c r="N312" s="1">
        <v>1</v>
      </c>
      <c r="O312" s="1">
        <v>375</v>
      </c>
      <c r="P312" s="1">
        <v>15</v>
      </c>
      <c r="Q312" s="4">
        <v>51.719627610000003</v>
      </c>
      <c r="R312" s="1" t="s">
        <v>26</v>
      </c>
      <c r="S312" s="3">
        <v>3.8916236679999998</v>
      </c>
      <c r="T312" s="1" t="s">
        <v>35</v>
      </c>
      <c r="U312" s="1" t="s">
        <v>39</v>
      </c>
      <c r="V312" s="4">
        <v>323.62167199999999</v>
      </c>
      <c r="W312" s="8">
        <f>Table1[[#This Row],[Revenue]]-Table1[[#This Row],[Shipping costs]]-Table1[[#This Row],[Manufacturing costs]]</f>
        <v>269.906612</v>
      </c>
    </row>
    <row r="313" spans="1:23" ht="14.25" customHeight="1" x14ac:dyDescent="0.25">
      <c r="A313" s="1" t="s">
        <v>29</v>
      </c>
      <c r="B313" s="1" t="s">
        <v>359</v>
      </c>
      <c r="C313" s="2">
        <v>81.27</v>
      </c>
      <c r="D313" s="1">
        <v>35</v>
      </c>
      <c r="E313" s="1">
        <v>323</v>
      </c>
      <c r="F313" s="1">
        <v>27</v>
      </c>
      <c r="G313" s="1">
        <v>44</v>
      </c>
      <c r="H313" s="1" t="str">
        <f>IF(Table1[[#This Row],[Order quantities]]&gt;Table1[[#This Row],[Availability]], "High Risk", "Low Risk")</f>
        <v>High Risk</v>
      </c>
      <c r="I313" s="1">
        <v>9</v>
      </c>
      <c r="J313" s="1" t="s">
        <v>23</v>
      </c>
      <c r="K313" s="4">
        <v>1.3203120770000001</v>
      </c>
      <c r="L313" s="1" t="s">
        <v>44</v>
      </c>
      <c r="M313" s="1" t="s">
        <v>62</v>
      </c>
      <c r="N313" s="1">
        <v>5</v>
      </c>
      <c r="O313" s="1">
        <v>781</v>
      </c>
      <c r="P313" s="1">
        <v>3</v>
      </c>
      <c r="Q313" s="4">
        <v>89.905413030000005</v>
      </c>
      <c r="R313" s="1" t="s">
        <v>34</v>
      </c>
      <c r="S313" s="3">
        <v>1.8559764249999999</v>
      </c>
      <c r="T313" s="1" t="s">
        <v>47</v>
      </c>
      <c r="U313" s="1" t="s">
        <v>28</v>
      </c>
      <c r="V313" s="4">
        <v>678.27865180000003</v>
      </c>
      <c r="W313" s="8">
        <f>Table1[[#This Row],[Revenue]]-Table1[[#This Row],[Shipping costs]]-Table1[[#This Row],[Manufacturing costs]]</f>
        <v>587.05292669300002</v>
      </c>
    </row>
    <row r="314" spans="1:23" ht="14.25" customHeight="1" x14ac:dyDescent="0.25">
      <c r="A314" s="1" t="s">
        <v>29</v>
      </c>
      <c r="B314" s="1" t="s">
        <v>360</v>
      </c>
      <c r="C314" s="2">
        <v>5.44</v>
      </c>
      <c r="D314" s="1">
        <v>98</v>
      </c>
      <c r="E314" s="1">
        <v>609</v>
      </c>
      <c r="F314" s="1">
        <v>3</v>
      </c>
      <c r="G314" s="1">
        <v>11</v>
      </c>
      <c r="H314" s="1" t="str">
        <f>IF(Table1[[#This Row],[Order quantities]]&gt;Table1[[#This Row],[Availability]], "High Risk", "Low Risk")</f>
        <v>Low Risk</v>
      </c>
      <c r="I314" s="1">
        <v>2</v>
      </c>
      <c r="J314" s="1" t="s">
        <v>43</v>
      </c>
      <c r="K314" s="4">
        <v>9.9489727240000008</v>
      </c>
      <c r="L314" s="1" t="s">
        <v>32</v>
      </c>
      <c r="M314" s="1" t="s">
        <v>25</v>
      </c>
      <c r="N314" s="1">
        <v>6</v>
      </c>
      <c r="O314" s="1">
        <v>239</v>
      </c>
      <c r="P314" s="1">
        <v>11</v>
      </c>
      <c r="Q314" s="4">
        <v>50.96118079</v>
      </c>
      <c r="R314" s="1" t="s">
        <v>51</v>
      </c>
      <c r="S314" s="3">
        <v>0.99767140099999996</v>
      </c>
      <c r="T314" s="1" t="s">
        <v>47</v>
      </c>
      <c r="U314" s="1" t="s">
        <v>53</v>
      </c>
      <c r="V314" s="4">
        <v>347.61498160000002</v>
      </c>
      <c r="W314" s="8">
        <f>Table1[[#This Row],[Revenue]]-Table1[[#This Row],[Shipping costs]]-Table1[[#This Row],[Manufacturing costs]]</f>
        <v>286.70482808600002</v>
      </c>
    </row>
    <row r="315" spans="1:23" ht="14.25" customHeight="1" x14ac:dyDescent="0.25">
      <c r="A315" s="1" t="s">
        <v>29</v>
      </c>
      <c r="B315" s="1" t="s">
        <v>361</v>
      </c>
      <c r="C315" s="2">
        <v>36.68</v>
      </c>
      <c r="D315" s="1">
        <v>51</v>
      </c>
      <c r="E315" s="1">
        <v>380</v>
      </c>
      <c r="F315" s="1">
        <v>10</v>
      </c>
      <c r="G315" s="1">
        <v>79</v>
      </c>
      <c r="H315" s="1" t="str">
        <f>IF(Table1[[#This Row],[Order quantities]]&gt;Table1[[#This Row],[Availability]], "High Risk", "Low Risk")</f>
        <v>High Risk</v>
      </c>
      <c r="I315" s="1">
        <v>3</v>
      </c>
      <c r="J315" s="1" t="s">
        <v>43</v>
      </c>
      <c r="K315" s="4">
        <v>3.0945551400000002</v>
      </c>
      <c r="L315" s="1" t="s">
        <v>24</v>
      </c>
      <c r="M315" s="1" t="s">
        <v>55</v>
      </c>
      <c r="N315" s="1">
        <v>13</v>
      </c>
      <c r="O315" s="1">
        <v>456</v>
      </c>
      <c r="P315" s="1">
        <v>6</v>
      </c>
      <c r="Q315" s="4">
        <v>60.03208154</v>
      </c>
      <c r="R315" s="1" t="s">
        <v>26</v>
      </c>
      <c r="S315" s="3">
        <v>3.2495909420000002</v>
      </c>
      <c r="T315" s="1" t="s">
        <v>27</v>
      </c>
      <c r="U315" s="1" t="s">
        <v>53</v>
      </c>
      <c r="V315" s="4">
        <v>556.42949439999995</v>
      </c>
      <c r="W315" s="8">
        <f>Table1[[#This Row],[Revenue]]-Table1[[#This Row],[Shipping costs]]-Table1[[#This Row],[Manufacturing costs]]</f>
        <v>493.30285771999996</v>
      </c>
    </row>
    <row r="316" spans="1:23" ht="14.25" customHeight="1" x14ac:dyDescent="0.25">
      <c r="A316" s="1" t="s">
        <v>21</v>
      </c>
      <c r="B316" s="1" t="s">
        <v>362</v>
      </c>
      <c r="C316" s="2">
        <v>42.83</v>
      </c>
      <c r="D316" s="1">
        <v>75</v>
      </c>
      <c r="E316" s="1">
        <v>101</v>
      </c>
      <c r="F316" s="1">
        <v>2</v>
      </c>
      <c r="G316" s="1">
        <v>80</v>
      </c>
      <c r="H316" s="1" t="str">
        <f>IF(Table1[[#This Row],[Order quantities]]&gt;Table1[[#This Row],[Availability]], "High Risk", "Low Risk")</f>
        <v>High Risk</v>
      </c>
      <c r="I316" s="1">
        <v>5</v>
      </c>
      <c r="J316" s="1" t="s">
        <v>23</v>
      </c>
      <c r="K316" s="4">
        <v>1.484474724</v>
      </c>
      <c r="L316" s="1" t="s">
        <v>24</v>
      </c>
      <c r="M316" s="1" t="s">
        <v>49</v>
      </c>
      <c r="N316" s="1">
        <v>2</v>
      </c>
      <c r="O316" s="1">
        <v>812</v>
      </c>
      <c r="P316" s="1">
        <v>3</v>
      </c>
      <c r="Q316" s="4">
        <v>46.357865500000003</v>
      </c>
      <c r="R316" s="1" t="s">
        <v>51</v>
      </c>
      <c r="S316" s="3">
        <v>1.7060789089999999</v>
      </c>
      <c r="T316" s="1" t="s">
        <v>27</v>
      </c>
      <c r="U316" s="1" t="s">
        <v>39</v>
      </c>
      <c r="V316" s="4">
        <v>807.66360329999998</v>
      </c>
      <c r="W316" s="8">
        <f>Table1[[#This Row],[Revenue]]-Table1[[#This Row],[Shipping costs]]-Table1[[#This Row],[Manufacturing costs]]</f>
        <v>759.82126307599992</v>
      </c>
    </row>
    <row r="317" spans="1:23" ht="14.25" customHeight="1" x14ac:dyDescent="0.25">
      <c r="A317" s="1" t="s">
        <v>29</v>
      </c>
      <c r="B317" s="1" t="s">
        <v>363</v>
      </c>
      <c r="C317" s="2">
        <v>56.05</v>
      </c>
      <c r="D317" s="1">
        <v>6</v>
      </c>
      <c r="E317" s="1">
        <v>493</v>
      </c>
      <c r="F317" s="1">
        <v>25</v>
      </c>
      <c r="G317" s="1">
        <v>81</v>
      </c>
      <c r="H317" s="1" t="str">
        <f>IF(Table1[[#This Row],[Order quantities]]&gt;Table1[[#This Row],[Availability]], "High Risk", "Low Risk")</f>
        <v>High Risk</v>
      </c>
      <c r="I317" s="1">
        <v>9</v>
      </c>
      <c r="J317" s="1" t="s">
        <v>31</v>
      </c>
      <c r="K317" s="4">
        <v>2.7088779619999999</v>
      </c>
      <c r="L317" s="1" t="s">
        <v>32</v>
      </c>
      <c r="M317" s="1" t="s">
        <v>49</v>
      </c>
      <c r="N317" s="1">
        <v>15</v>
      </c>
      <c r="O317" s="1">
        <v>122</v>
      </c>
      <c r="P317" s="1">
        <v>24</v>
      </c>
      <c r="Q317" s="4">
        <v>51.410546490000002</v>
      </c>
      <c r="R317" s="1" t="s">
        <v>34</v>
      </c>
      <c r="S317" s="3">
        <v>4.3143602430000003</v>
      </c>
      <c r="T317" s="1" t="s">
        <v>35</v>
      </c>
      <c r="U317" s="1" t="s">
        <v>28</v>
      </c>
      <c r="V317" s="4">
        <v>893.5502712</v>
      </c>
      <c r="W317" s="8">
        <f>Table1[[#This Row],[Revenue]]-Table1[[#This Row],[Shipping costs]]-Table1[[#This Row],[Manufacturing costs]]</f>
        <v>839.43084674800002</v>
      </c>
    </row>
    <row r="318" spans="1:23" ht="14.25" customHeight="1" x14ac:dyDescent="0.25">
      <c r="A318" s="1" t="s">
        <v>29</v>
      </c>
      <c r="B318" s="1" t="s">
        <v>364</v>
      </c>
      <c r="C318" s="2">
        <v>92.39</v>
      </c>
      <c r="D318" s="1">
        <v>28</v>
      </c>
      <c r="E318" s="1">
        <v>643</v>
      </c>
      <c r="F318" s="1">
        <v>3</v>
      </c>
      <c r="G318" s="1">
        <v>90</v>
      </c>
      <c r="H318" s="1" t="str">
        <f>IF(Table1[[#This Row],[Order quantities]]&gt;Table1[[#This Row],[Availability]], "High Risk", "Low Risk")</f>
        <v>High Risk</v>
      </c>
      <c r="I318" s="1">
        <v>4</v>
      </c>
      <c r="J318" s="1" t="s">
        <v>31</v>
      </c>
      <c r="K318" s="4">
        <v>1.3506206169999999</v>
      </c>
      <c r="L318" s="1" t="s">
        <v>32</v>
      </c>
      <c r="M318" s="1" t="s">
        <v>25</v>
      </c>
      <c r="N318" s="1">
        <v>15</v>
      </c>
      <c r="O318" s="1">
        <v>835</v>
      </c>
      <c r="P318" s="1">
        <v>11</v>
      </c>
      <c r="Q318" s="4">
        <v>11.36567791</v>
      </c>
      <c r="R318" s="1" t="s">
        <v>26</v>
      </c>
      <c r="S318" s="3">
        <v>0.70087744500000004</v>
      </c>
      <c r="T318" s="1" t="s">
        <v>47</v>
      </c>
      <c r="U318" s="1" t="s">
        <v>53</v>
      </c>
      <c r="V318" s="4">
        <v>854.82751629999996</v>
      </c>
      <c r="W318" s="8">
        <f>Table1[[#This Row],[Revenue]]-Table1[[#This Row],[Shipping costs]]-Table1[[#This Row],[Manufacturing costs]]</f>
        <v>842.11121777299991</v>
      </c>
    </row>
    <row r="319" spans="1:23" ht="14.25" customHeight="1" x14ac:dyDescent="0.25">
      <c r="A319" s="1" t="s">
        <v>29</v>
      </c>
      <c r="B319" s="1" t="s">
        <v>365</v>
      </c>
      <c r="C319" s="2">
        <v>37.9</v>
      </c>
      <c r="D319" s="1">
        <v>10</v>
      </c>
      <c r="E319" s="1">
        <v>613</v>
      </c>
      <c r="F319" s="1">
        <v>16</v>
      </c>
      <c r="G319" s="1">
        <v>2</v>
      </c>
      <c r="H319" s="1" t="str">
        <f>IF(Table1[[#This Row],[Order quantities]]&gt;Table1[[#This Row],[Availability]], "High Risk", "Low Risk")</f>
        <v>Low Risk</v>
      </c>
      <c r="I319" s="1">
        <v>1</v>
      </c>
      <c r="J319" s="1" t="s">
        <v>43</v>
      </c>
      <c r="K319" s="4">
        <v>4.5262980519999996</v>
      </c>
      <c r="L319" s="1" t="s">
        <v>44</v>
      </c>
      <c r="M319" s="1" t="s">
        <v>25</v>
      </c>
      <c r="N319" s="1">
        <v>13</v>
      </c>
      <c r="O319" s="1">
        <v>979</v>
      </c>
      <c r="P319" s="1">
        <v>15</v>
      </c>
      <c r="Q319" s="4">
        <v>35.537095899999997</v>
      </c>
      <c r="R319" s="1" t="s">
        <v>51</v>
      </c>
      <c r="S319" s="3">
        <v>2.2239721289999999</v>
      </c>
      <c r="T319" s="1" t="s">
        <v>35</v>
      </c>
      <c r="U319" s="1" t="s">
        <v>53</v>
      </c>
      <c r="V319" s="4">
        <v>623.96266249999996</v>
      </c>
      <c r="W319" s="8">
        <f>Table1[[#This Row],[Revenue]]-Table1[[#This Row],[Shipping costs]]-Table1[[#This Row],[Manufacturing costs]]</f>
        <v>583.89926854800001</v>
      </c>
    </row>
    <row r="320" spans="1:23" ht="14.25" customHeight="1" x14ac:dyDescent="0.25">
      <c r="A320" s="1" t="s">
        <v>29</v>
      </c>
      <c r="B320" s="1" t="s">
        <v>366</v>
      </c>
      <c r="C320" s="2">
        <v>37.96</v>
      </c>
      <c r="D320" s="1">
        <v>32</v>
      </c>
      <c r="E320" s="1">
        <v>18</v>
      </c>
      <c r="F320" s="1">
        <v>2</v>
      </c>
      <c r="G320" s="1">
        <v>50</v>
      </c>
      <c r="H320" s="1" t="str">
        <f>IF(Table1[[#This Row],[Order quantities]]&gt;Table1[[#This Row],[Availability]], "High Risk", "Low Risk")</f>
        <v>High Risk</v>
      </c>
      <c r="I320" s="1">
        <v>4</v>
      </c>
      <c r="J320" s="1" t="s">
        <v>23</v>
      </c>
      <c r="K320" s="4">
        <v>8.2216160600000006</v>
      </c>
      <c r="L320" s="1" t="s">
        <v>44</v>
      </c>
      <c r="M320" s="1" t="s">
        <v>49</v>
      </c>
      <c r="N320" s="1">
        <v>26</v>
      </c>
      <c r="O320" s="1">
        <v>369</v>
      </c>
      <c r="P320" s="1">
        <v>13</v>
      </c>
      <c r="Q320" s="4">
        <v>49.292354959999997</v>
      </c>
      <c r="R320" s="1" t="s">
        <v>51</v>
      </c>
      <c r="S320" s="3">
        <v>2.0439652420000001</v>
      </c>
      <c r="T320" s="1" t="s">
        <v>35</v>
      </c>
      <c r="U320" s="1" t="s">
        <v>53</v>
      </c>
      <c r="V320" s="4">
        <v>323.93468380000002</v>
      </c>
      <c r="W320" s="8">
        <f>Table1[[#This Row],[Revenue]]-Table1[[#This Row],[Shipping costs]]-Table1[[#This Row],[Manufacturing costs]]</f>
        <v>266.42071278000003</v>
      </c>
    </row>
    <row r="321" spans="1:23" ht="14.25" customHeight="1" x14ac:dyDescent="0.25">
      <c r="A321" s="1" t="s">
        <v>21</v>
      </c>
      <c r="B321" s="1" t="s">
        <v>367</v>
      </c>
      <c r="C321" s="2">
        <v>75.06</v>
      </c>
      <c r="D321" s="1">
        <v>5</v>
      </c>
      <c r="E321" s="1">
        <v>453</v>
      </c>
      <c r="F321" s="1">
        <v>28</v>
      </c>
      <c r="G321" s="1">
        <v>12</v>
      </c>
      <c r="H321" s="1" t="str">
        <f>IF(Table1[[#This Row],[Order quantities]]&gt;Table1[[#This Row],[Availability]], "High Risk", "Low Risk")</f>
        <v>High Risk</v>
      </c>
      <c r="I321" s="1">
        <v>6</v>
      </c>
      <c r="J321" s="1" t="s">
        <v>43</v>
      </c>
      <c r="K321" s="4">
        <v>4.0712000479999997</v>
      </c>
      <c r="L321" s="1" t="s">
        <v>41</v>
      </c>
      <c r="M321" s="1" t="s">
        <v>46</v>
      </c>
      <c r="N321" s="1">
        <v>25</v>
      </c>
      <c r="O321" s="1">
        <v>958</v>
      </c>
      <c r="P321" s="1">
        <v>20</v>
      </c>
      <c r="Q321" s="4">
        <v>67.041727839999993</v>
      </c>
      <c r="R321" s="1" t="s">
        <v>26</v>
      </c>
      <c r="S321" s="3">
        <v>4.6964638819999998</v>
      </c>
      <c r="T321" s="1" t="s">
        <v>35</v>
      </c>
      <c r="U321" s="1" t="s">
        <v>53</v>
      </c>
      <c r="V321" s="4">
        <v>695.11004490000005</v>
      </c>
      <c r="W321" s="8">
        <f>Table1[[#This Row],[Revenue]]-Table1[[#This Row],[Shipping costs]]-Table1[[#This Row],[Manufacturing costs]]</f>
        <v>623.99711701199999</v>
      </c>
    </row>
    <row r="322" spans="1:23" ht="14.25" customHeight="1" x14ac:dyDescent="0.25">
      <c r="A322" s="1" t="s">
        <v>21</v>
      </c>
      <c r="B322" s="1" t="s">
        <v>368</v>
      </c>
      <c r="C322" s="2">
        <v>47.96</v>
      </c>
      <c r="D322" s="1">
        <v>78</v>
      </c>
      <c r="E322" s="1">
        <v>481</v>
      </c>
      <c r="F322" s="1">
        <v>24</v>
      </c>
      <c r="G322" s="1">
        <v>90</v>
      </c>
      <c r="H322" s="1" t="str">
        <f>IF(Table1[[#This Row],[Order quantities]]&gt;Table1[[#This Row],[Availability]], "High Risk", "Low Risk")</f>
        <v>High Risk</v>
      </c>
      <c r="I322" s="1">
        <v>5</v>
      </c>
      <c r="J322" s="1" t="s">
        <v>31</v>
      </c>
      <c r="K322" s="4">
        <v>4.9976506619999999</v>
      </c>
      <c r="L322" s="1" t="s">
        <v>32</v>
      </c>
      <c r="M322" s="1" t="s">
        <v>62</v>
      </c>
      <c r="N322" s="1">
        <v>14</v>
      </c>
      <c r="O322" s="1">
        <v>764</v>
      </c>
      <c r="P322" s="1">
        <v>28</v>
      </c>
      <c r="Q322" s="4">
        <v>50.504673750000002</v>
      </c>
      <c r="R322" s="1" t="s">
        <v>51</v>
      </c>
      <c r="S322" s="3">
        <v>0.85036052299999998</v>
      </c>
      <c r="T322" s="1" t="s">
        <v>27</v>
      </c>
      <c r="U322" s="1" t="s">
        <v>39</v>
      </c>
      <c r="V322" s="4">
        <v>738.91454120000003</v>
      </c>
      <c r="W322" s="8">
        <f>Table1[[#This Row],[Revenue]]-Table1[[#This Row],[Shipping costs]]-Table1[[#This Row],[Manufacturing costs]]</f>
        <v>683.41221678800002</v>
      </c>
    </row>
    <row r="323" spans="1:23" ht="14.25" customHeight="1" x14ac:dyDescent="0.25">
      <c r="A323" s="1" t="s">
        <v>21</v>
      </c>
      <c r="B323" s="1" t="s">
        <v>369</v>
      </c>
      <c r="C323" s="2">
        <v>26.34</v>
      </c>
      <c r="D323" s="1">
        <v>31</v>
      </c>
      <c r="E323" s="1">
        <v>593</v>
      </c>
      <c r="F323" s="1">
        <v>10</v>
      </c>
      <c r="G323" s="1">
        <v>23</v>
      </c>
      <c r="H323" s="1" t="str">
        <f>IF(Table1[[#This Row],[Order quantities]]&gt;Table1[[#This Row],[Availability]], "High Risk", "Low Risk")</f>
        <v>Low Risk</v>
      </c>
      <c r="I323" s="1">
        <v>1</v>
      </c>
      <c r="J323" s="1" t="s">
        <v>43</v>
      </c>
      <c r="K323" s="4">
        <v>7.0802809619999998</v>
      </c>
      <c r="L323" s="1" t="s">
        <v>24</v>
      </c>
      <c r="M323" s="1" t="s">
        <v>55</v>
      </c>
      <c r="N323" s="1">
        <v>26</v>
      </c>
      <c r="O323" s="1">
        <v>432</v>
      </c>
      <c r="P323" s="1">
        <v>10</v>
      </c>
      <c r="Q323" s="4">
        <v>40.403533899999999</v>
      </c>
      <c r="R323" s="1" t="s">
        <v>51</v>
      </c>
      <c r="S323" s="3">
        <v>0.14824944300000001</v>
      </c>
      <c r="T323" s="1" t="s">
        <v>27</v>
      </c>
      <c r="U323" s="1" t="s">
        <v>53</v>
      </c>
      <c r="V323" s="4">
        <v>109.6227911</v>
      </c>
      <c r="W323" s="8">
        <f>Table1[[#This Row],[Revenue]]-Table1[[#This Row],[Shipping costs]]-Table1[[#This Row],[Manufacturing costs]]</f>
        <v>62.138976237999998</v>
      </c>
    </row>
    <row r="324" spans="1:23" ht="14.25" customHeight="1" x14ac:dyDescent="0.25">
      <c r="A324" s="1" t="s">
        <v>29</v>
      </c>
      <c r="B324" s="1" t="s">
        <v>370</v>
      </c>
      <c r="C324" s="2">
        <v>47.98</v>
      </c>
      <c r="D324" s="1">
        <v>50</v>
      </c>
      <c r="E324" s="1">
        <v>396</v>
      </c>
      <c r="F324" s="1">
        <v>6</v>
      </c>
      <c r="G324" s="1">
        <v>18</v>
      </c>
      <c r="H324" s="1" t="str">
        <f>IF(Table1[[#This Row],[Order quantities]]&gt;Table1[[#This Row],[Availability]], "High Risk", "Low Risk")</f>
        <v>Low Risk</v>
      </c>
      <c r="I324" s="1">
        <v>4</v>
      </c>
      <c r="J324" s="1" t="s">
        <v>43</v>
      </c>
      <c r="K324" s="4">
        <v>5.5800466310000001</v>
      </c>
      <c r="L324" s="1" t="s">
        <v>38</v>
      </c>
      <c r="M324" s="1" t="s">
        <v>62</v>
      </c>
      <c r="N324" s="1">
        <v>22</v>
      </c>
      <c r="O324" s="1">
        <v>184</v>
      </c>
      <c r="P324" s="1">
        <v>6</v>
      </c>
      <c r="Q324" s="4">
        <v>44.928886179999999</v>
      </c>
      <c r="R324" s="1" t="s">
        <v>34</v>
      </c>
      <c r="S324" s="3">
        <v>1.266617543</v>
      </c>
      <c r="T324" s="1" t="s">
        <v>47</v>
      </c>
      <c r="U324" s="1" t="s">
        <v>39</v>
      </c>
      <c r="V324" s="4">
        <v>495.28945979999997</v>
      </c>
      <c r="W324" s="8">
        <f>Table1[[#This Row],[Revenue]]-Table1[[#This Row],[Shipping costs]]-Table1[[#This Row],[Manufacturing costs]]</f>
        <v>444.78052698899995</v>
      </c>
    </row>
    <row r="325" spans="1:23" ht="14.25" customHeight="1" x14ac:dyDescent="0.25">
      <c r="A325" s="1" t="s">
        <v>21</v>
      </c>
      <c r="B325" s="1" t="s">
        <v>371</v>
      </c>
      <c r="C325" s="2">
        <v>18.38</v>
      </c>
      <c r="D325" s="1">
        <v>74</v>
      </c>
      <c r="E325" s="1">
        <v>278</v>
      </c>
      <c r="F325" s="1">
        <v>22</v>
      </c>
      <c r="G325" s="1">
        <v>62</v>
      </c>
      <c r="H325" s="1" t="str">
        <f>IF(Table1[[#This Row],[Order quantities]]&gt;Table1[[#This Row],[Availability]], "High Risk", "Low Risk")</f>
        <v>Low Risk</v>
      </c>
      <c r="I325" s="1">
        <v>6</v>
      </c>
      <c r="J325" s="1" t="s">
        <v>31</v>
      </c>
      <c r="K325" s="4">
        <v>8.7530111739999992</v>
      </c>
      <c r="L325" s="1" t="s">
        <v>32</v>
      </c>
      <c r="M325" s="1" t="s">
        <v>62</v>
      </c>
      <c r="N325" s="1">
        <v>7</v>
      </c>
      <c r="O325" s="1">
        <v>720</v>
      </c>
      <c r="P325" s="1">
        <v>15</v>
      </c>
      <c r="Q325" s="4">
        <v>31.806399630000001</v>
      </c>
      <c r="R325" s="1" t="s">
        <v>26</v>
      </c>
      <c r="S325" s="3">
        <v>4.1193566129999999</v>
      </c>
      <c r="T325" s="1" t="s">
        <v>27</v>
      </c>
      <c r="U325" s="1" t="s">
        <v>53</v>
      </c>
      <c r="V325" s="4">
        <v>858.93583850000005</v>
      </c>
      <c r="W325" s="8">
        <f>Table1[[#This Row],[Revenue]]-Table1[[#This Row],[Shipping costs]]-Table1[[#This Row],[Manufacturing costs]]</f>
        <v>818.37642769600006</v>
      </c>
    </row>
    <row r="326" spans="1:23" ht="14.25" customHeight="1" x14ac:dyDescent="0.25">
      <c r="A326" s="1" t="s">
        <v>21</v>
      </c>
      <c r="B326" s="1" t="s">
        <v>372</v>
      </c>
      <c r="C326" s="2">
        <v>21.76</v>
      </c>
      <c r="D326" s="1">
        <v>57</v>
      </c>
      <c r="E326" s="1">
        <v>850</v>
      </c>
      <c r="F326" s="1">
        <v>26</v>
      </c>
      <c r="G326" s="1">
        <v>96</v>
      </c>
      <c r="H326" s="1" t="str">
        <f>IF(Table1[[#This Row],[Order quantities]]&gt;Table1[[#This Row],[Availability]], "High Risk", "Low Risk")</f>
        <v>High Risk</v>
      </c>
      <c r="I326" s="1">
        <v>4</v>
      </c>
      <c r="J326" s="1" t="s">
        <v>23</v>
      </c>
      <c r="K326" s="4">
        <v>8.7943210749999992</v>
      </c>
      <c r="L326" s="1" t="s">
        <v>44</v>
      </c>
      <c r="M326" s="1" t="s">
        <v>46</v>
      </c>
      <c r="N326" s="1">
        <v>14</v>
      </c>
      <c r="O326" s="1">
        <v>130</v>
      </c>
      <c r="P326" s="1">
        <v>25</v>
      </c>
      <c r="Q326" s="4">
        <v>93.204485450000007</v>
      </c>
      <c r="R326" s="1" t="s">
        <v>34</v>
      </c>
      <c r="S326" s="3">
        <v>1.1256768989999999</v>
      </c>
      <c r="T326" s="1" t="s">
        <v>27</v>
      </c>
      <c r="U326" s="1" t="s">
        <v>28</v>
      </c>
      <c r="V326" s="4">
        <v>540.6288366</v>
      </c>
      <c r="W326" s="8">
        <f>Table1[[#This Row],[Revenue]]-Table1[[#This Row],[Shipping costs]]-Table1[[#This Row],[Manufacturing costs]]</f>
        <v>438.63003007500004</v>
      </c>
    </row>
    <row r="327" spans="1:23" ht="14.25" customHeight="1" x14ac:dyDescent="0.25">
      <c r="A327" s="1" t="s">
        <v>21</v>
      </c>
      <c r="B327" s="1" t="s">
        <v>373</v>
      </c>
      <c r="C327" s="2">
        <v>52.34</v>
      </c>
      <c r="D327" s="1">
        <v>86</v>
      </c>
      <c r="E327" s="1">
        <v>364</v>
      </c>
      <c r="F327" s="1">
        <v>11</v>
      </c>
      <c r="G327" s="1">
        <v>62</v>
      </c>
      <c r="H327" s="1" t="str">
        <f>IF(Table1[[#This Row],[Order quantities]]&gt;Table1[[#This Row],[Availability]], "High Risk", "Low Risk")</f>
        <v>Low Risk</v>
      </c>
      <c r="I327" s="1">
        <v>9</v>
      </c>
      <c r="J327" s="1" t="s">
        <v>37</v>
      </c>
      <c r="K327" s="4">
        <v>1.0891962589999999</v>
      </c>
      <c r="L327" s="1" t="s">
        <v>38</v>
      </c>
      <c r="M327" s="1" t="s">
        <v>49</v>
      </c>
      <c r="N327" s="1">
        <v>26</v>
      </c>
      <c r="O327" s="1">
        <v>840</v>
      </c>
      <c r="P327" s="1">
        <v>18</v>
      </c>
      <c r="Q327" s="4">
        <v>56.956890319999999</v>
      </c>
      <c r="R327" s="1" t="s">
        <v>26</v>
      </c>
      <c r="S327" s="3">
        <v>1.280302512</v>
      </c>
      <c r="T327" s="1" t="s">
        <v>35</v>
      </c>
      <c r="U327" s="1" t="s">
        <v>53</v>
      </c>
      <c r="V327" s="4">
        <v>380.23789790000001</v>
      </c>
      <c r="W327" s="8">
        <f>Table1[[#This Row],[Revenue]]-Table1[[#This Row],[Shipping costs]]-Table1[[#This Row],[Manufacturing costs]]</f>
        <v>322.19181132099999</v>
      </c>
    </row>
    <row r="328" spans="1:23" ht="14.25" customHeight="1" x14ac:dyDescent="0.25">
      <c r="A328" s="1" t="s">
        <v>21</v>
      </c>
      <c r="B328" s="1" t="s">
        <v>374</v>
      </c>
      <c r="C328" s="2">
        <v>44.8</v>
      </c>
      <c r="D328" s="1">
        <v>25</v>
      </c>
      <c r="E328" s="1">
        <v>330</v>
      </c>
      <c r="F328" s="1">
        <v>23</v>
      </c>
      <c r="G328" s="1">
        <v>38</v>
      </c>
      <c r="H328" s="1" t="str">
        <f>IF(Table1[[#This Row],[Order quantities]]&gt;Table1[[#This Row],[Availability]], "High Risk", "Low Risk")</f>
        <v>High Risk</v>
      </c>
      <c r="I328" s="1">
        <v>5</v>
      </c>
      <c r="J328" s="1" t="s">
        <v>43</v>
      </c>
      <c r="K328" s="4">
        <v>8.0024167580000007</v>
      </c>
      <c r="L328" s="1" t="s">
        <v>44</v>
      </c>
      <c r="M328" s="1" t="s">
        <v>33</v>
      </c>
      <c r="N328" s="1">
        <v>24</v>
      </c>
      <c r="O328" s="1">
        <v>339</v>
      </c>
      <c r="P328" s="1">
        <v>18</v>
      </c>
      <c r="Q328" s="4">
        <v>11.20685085</v>
      </c>
      <c r="R328" s="1" t="s">
        <v>34</v>
      </c>
      <c r="S328" s="3">
        <v>0.73650414200000003</v>
      </c>
      <c r="T328" s="1" t="s">
        <v>47</v>
      </c>
      <c r="U328" s="1" t="s">
        <v>39</v>
      </c>
      <c r="V328" s="4">
        <v>884.61799389999999</v>
      </c>
      <c r="W328" s="8">
        <f>Table1[[#This Row],[Revenue]]-Table1[[#This Row],[Shipping costs]]-Table1[[#This Row],[Manufacturing costs]]</f>
        <v>865.40872629199998</v>
      </c>
    </row>
    <row r="329" spans="1:23" ht="14.25" customHeight="1" x14ac:dyDescent="0.25">
      <c r="A329" s="1" t="s">
        <v>29</v>
      </c>
      <c r="B329" s="1" t="s">
        <v>375</v>
      </c>
      <c r="C329" s="2">
        <v>91.91</v>
      </c>
      <c r="D329" s="1">
        <v>97</v>
      </c>
      <c r="E329" s="1">
        <v>640</v>
      </c>
      <c r="F329" s="1">
        <v>7</v>
      </c>
      <c r="G329" s="1">
        <v>67</v>
      </c>
      <c r="H329" s="1" t="str">
        <f>IF(Table1[[#This Row],[Order quantities]]&gt;Table1[[#This Row],[Availability]], "High Risk", "Low Risk")</f>
        <v>Low Risk</v>
      </c>
      <c r="I329" s="1">
        <v>8</v>
      </c>
      <c r="J329" s="1" t="s">
        <v>43</v>
      </c>
      <c r="K329" s="4">
        <v>5.1466024020000001</v>
      </c>
      <c r="L329" s="1" t="s">
        <v>44</v>
      </c>
      <c r="M329" s="1" t="s">
        <v>33</v>
      </c>
      <c r="N329" s="1">
        <v>27</v>
      </c>
      <c r="O329" s="1">
        <v>989</v>
      </c>
      <c r="P329" s="1">
        <v>7</v>
      </c>
      <c r="Q329" s="4">
        <v>11.750163260000001</v>
      </c>
      <c r="R329" s="1" t="s">
        <v>51</v>
      </c>
      <c r="S329" s="3">
        <v>3.6056373960000001</v>
      </c>
      <c r="T329" s="1" t="s">
        <v>27</v>
      </c>
      <c r="U329" s="1" t="s">
        <v>28</v>
      </c>
      <c r="V329" s="4">
        <v>240.29262779999999</v>
      </c>
      <c r="W329" s="8">
        <f>Table1[[#This Row],[Revenue]]-Table1[[#This Row],[Shipping costs]]-Table1[[#This Row],[Manufacturing costs]]</f>
        <v>223.39586213799998</v>
      </c>
    </row>
    <row r="330" spans="1:23" ht="14.25" customHeight="1" x14ac:dyDescent="0.25">
      <c r="A330" s="1" t="s">
        <v>29</v>
      </c>
      <c r="B330" s="1" t="s">
        <v>376</v>
      </c>
      <c r="C330" s="2">
        <v>39.43</v>
      </c>
      <c r="D330" s="1">
        <v>45</v>
      </c>
      <c r="E330" s="1">
        <v>343</v>
      </c>
      <c r="F330" s="1">
        <v>27</v>
      </c>
      <c r="G330" s="1">
        <v>38</v>
      </c>
      <c r="H330" s="1" t="str">
        <f>IF(Table1[[#This Row],[Order quantities]]&gt;Table1[[#This Row],[Availability]], "High Risk", "Low Risk")</f>
        <v>Low Risk</v>
      </c>
      <c r="I330" s="1">
        <v>9</v>
      </c>
      <c r="J330" s="1" t="s">
        <v>43</v>
      </c>
      <c r="K330" s="4">
        <v>9.8995648719999991</v>
      </c>
      <c r="L330" s="1" t="s">
        <v>32</v>
      </c>
      <c r="M330" s="1" t="s">
        <v>46</v>
      </c>
      <c r="N330" s="1">
        <v>29</v>
      </c>
      <c r="O330" s="1">
        <v>462</v>
      </c>
      <c r="P330" s="1">
        <v>15</v>
      </c>
      <c r="Q330" s="4">
        <v>97.566547150000005</v>
      </c>
      <c r="R330" s="1" t="s">
        <v>34</v>
      </c>
      <c r="S330" s="3">
        <v>0.43895353300000001</v>
      </c>
      <c r="T330" s="1" t="s">
        <v>27</v>
      </c>
      <c r="U330" s="1" t="s">
        <v>39</v>
      </c>
      <c r="V330" s="4">
        <v>285.80070919999997</v>
      </c>
      <c r="W330" s="8">
        <f>Table1[[#This Row],[Revenue]]-Table1[[#This Row],[Shipping costs]]-Table1[[#This Row],[Manufacturing costs]]</f>
        <v>178.33459717799997</v>
      </c>
    </row>
    <row r="331" spans="1:23" ht="14.25" customHeight="1" x14ac:dyDescent="0.25">
      <c r="A331" s="1" t="s">
        <v>21</v>
      </c>
      <c r="B331" s="1" t="s">
        <v>377</v>
      </c>
      <c r="C331" s="2">
        <v>60.16</v>
      </c>
      <c r="D331" s="1">
        <v>97</v>
      </c>
      <c r="E331" s="1">
        <v>821</v>
      </c>
      <c r="F331" s="1">
        <v>29</v>
      </c>
      <c r="G331" s="1">
        <v>67</v>
      </c>
      <c r="H331" s="1" t="str">
        <f>IF(Table1[[#This Row],[Order quantities]]&gt;Table1[[#This Row],[Availability]], "High Risk", "Low Risk")</f>
        <v>Low Risk</v>
      </c>
      <c r="I331" s="1">
        <v>5</v>
      </c>
      <c r="J331" s="1" t="s">
        <v>31</v>
      </c>
      <c r="K331" s="4">
        <v>5.3490886829999997</v>
      </c>
      <c r="L331" s="1" t="s">
        <v>41</v>
      </c>
      <c r="M331" s="1" t="s">
        <v>49</v>
      </c>
      <c r="N331" s="1">
        <v>10</v>
      </c>
      <c r="O331" s="1">
        <v>921</v>
      </c>
      <c r="P331" s="1">
        <v>18</v>
      </c>
      <c r="Q331" s="4">
        <v>29.93058022</v>
      </c>
      <c r="R331" s="1" t="s">
        <v>26</v>
      </c>
      <c r="S331" s="3">
        <v>1.722920681</v>
      </c>
      <c r="T331" s="1" t="s">
        <v>27</v>
      </c>
      <c r="U331" s="1" t="s">
        <v>53</v>
      </c>
      <c r="V331" s="4">
        <v>718.63513020000005</v>
      </c>
      <c r="W331" s="8">
        <f>Table1[[#This Row],[Revenue]]-Table1[[#This Row],[Shipping costs]]-Table1[[#This Row],[Manufacturing costs]]</f>
        <v>683.35546129700003</v>
      </c>
    </row>
    <row r="332" spans="1:23" ht="14.25" customHeight="1" x14ac:dyDescent="0.25">
      <c r="A332" s="1" t="s">
        <v>21</v>
      </c>
      <c r="B332" s="1" t="s">
        <v>378</v>
      </c>
      <c r="C332" s="2">
        <v>65.069999999999993</v>
      </c>
      <c r="D332" s="1">
        <v>28</v>
      </c>
      <c r="E332" s="1">
        <v>454</v>
      </c>
      <c r="F332" s="1">
        <v>15</v>
      </c>
      <c r="G332" s="1">
        <v>94</v>
      </c>
      <c r="H332" s="1" t="str">
        <f>IF(Table1[[#This Row],[Order quantities]]&gt;Table1[[#This Row],[Availability]], "High Risk", "Low Risk")</f>
        <v>High Risk</v>
      </c>
      <c r="I332" s="1">
        <v>6</v>
      </c>
      <c r="J332" s="1" t="s">
        <v>23</v>
      </c>
      <c r="K332" s="4">
        <v>9.8820635079999999</v>
      </c>
      <c r="L332" s="1" t="s">
        <v>32</v>
      </c>
      <c r="M332" s="1" t="s">
        <v>62</v>
      </c>
      <c r="N332" s="1">
        <v>17</v>
      </c>
      <c r="O332" s="1">
        <v>488</v>
      </c>
      <c r="P332" s="1">
        <v>18</v>
      </c>
      <c r="Q332" s="4">
        <v>82.504745990000004</v>
      </c>
      <c r="R332" s="1" t="s">
        <v>51</v>
      </c>
      <c r="S332" s="3">
        <v>1.48424376</v>
      </c>
      <c r="T332" s="1" t="s">
        <v>35</v>
      </c>
      <c r="U332" s="1" t="s">
        <v>53</v>
      </c>
      <c r="V332" s="4">
        <v>417.19234740000002</v>
      </c>
      <c r="W332" s="8">
        <f>Table1[[#This Row],[Revenue]]-Table1[[#This Row],[Shipping costs]]-Table1[[#This Row],[Manufacturing costs]]</f>
        <v>324.80553790200003</v>
      </c>
    </row>
    <row r="333" spans="1:23" ht="14.25" customHeight="1" x14ac:dyDescent="0.25">
      <c r="A333" s="1" t="s">
        <v>29</v>
      </c>
      <c r="B333" s="1" t="s">
        <v>379</v>
      </c>
      <c r="C333" s="2">
        <v>6.24</v>
      </c>
      <c r="D333" s="1">
        <v>3</v>
      </c>
      <c r="E333" s="1">
        <v>600</v>
      </c>
      <c r="F333" s="1">
        <v>6</v>
      </c>
      <c r="G333" s="1">
        <v>61</v>
      </c>
      <c r="H333" s="1" t="str">
        <f>IF(Table1[[#This Row],[Order quantities]]&gt;Table1[[#This Row],[Availability]], "High Risk", "Low Risk")</f>
        <v>High Risk</v>
      </c>
      <c r="I333" s="1">
        <v>1</v>
      </c>
      <c r="J333" s="1" t="s">
        <v>43</v>
      </c>
      <c r="K333" s="4">
        <v>7.7911242510000003</v>
      </c>
      <c r="L333" s="1" t="s">
        <v>44</v>
      </c>
      <c r="M333" s="1" t="s">
        <v>62</v>
      </c>
      <c r="N333" s="1">
        <v>14</v>
      </c>
      <c r="O333" s="1">
        <v>752</v>
      </c>
      <c r="P333" s="1">
        <v>20</v>
      </c>
      <c r="Q333" s="4">
        <v>15.24477714</v>
      </c>
      <c r="R333" s="1" t="s">
        <v>26</v>
      </c>
      <c r="S333" s="3">
        <v>2.8202826760000002</v>
      </c>
      <c r="T333" s="1" t="s">
        <v>27</v>
      </c>
      <c r="U333" s="1" t="s">
        <v>53</v>
      </c>
      <c r="V333" s="4">
        <v>741.71515220000003</v>
      </c>
      <c r="W333" s="8">
        <f>Table1[[#This Row],[Revenue]]-Table1[[#This Row],[Shipping costs]]-Table1[[#This Row],[Manufacturing costs]]</f>
        <v>718.679250809</v>
      </c>
    </row>
    <row r="334" spans="1:23" ht="14.25" customHeight="1" x14ac:dyDescent="0.25">
      <c r="A334" s="1" t="s">
        <v>21</v>
      </c>
      <c r="B334" s="1" t="s">
        <v>380</v>
      </c>
      <c r="C334" s="2">
        <v>68.040000000000006</v>
      </c>
      <c r="D334" s="1">
        <v>80</v>
      </c>
      <c r="E334" s="1">
        <v>724</v>
      </c>
      <c r="F334" s="1">
        <v>20</v>
      </c>
      <c r="G334" s="1">
        <v>1</v>
      </c>
      <c r="H334" s="1" t="str">
        <f>IF(Table1[[#This Row],[Order quantities]]&gt;Table1[[#This Row],[Availability]], "High Risk", "Low Risk")</f>
        <v>Low Risk</v>
      </c>
      <c r="I334" s="1">
        <v>7</v>
      </c>
      <c r="J334" s="1" t="s">
        <v>43</v>
      </c>
      <c r="K334" s="4">
        <v>3.237443962</v>
      </c>
      <c r="L334" s="1" t="s">
        <v>38</v>
      </c>
      <c r="M334" s="1" t="s">
        <v>55</v>
      </c>
      <c r="N334" s="1">
        <v>8</v>
      </c>
      <c r="O334" s="1">
        <v>767</v>
      </c>
      <c r="P334" s="1">
        <v>9</v>
      </c>
      <c r="Q334" s="4">
        <v>92.904646299999996</v>
      </c>
      <c r="R334" s="1" t="s">
        <v>34</v>
      </c>
      <c r="S334" s="3">
        <v>3.6790396990000001</v>
      </c>
      <c r="T334" s="1" t="s">
        <v>47</v>
      </c>
      <c r="U334" s="1" t="s">
        <v>28</v>
      </c>
      <c r="V334" s="4">
        <v>241.93325909999999</v>
      </c>
      <c r="W334" s="8">
        <f>Table1[[#This Row],[Revenue]]-Table1[[#This Row],[Shipping costs]]-Table1[[#This Row],[Manufacturing costs]]</f>
        <v>145.791168838</v>
      </c>
    </row>
    <row r="335" spans="1:23" ht="14.25" customHeight="1" x14ac:dyDescent="0.25">
      <c r="A335" s="1" t="s">
        <v>21</v>
      </c>
      <c r="B335" s="1" t="s">
        <v>381</v>
      </c>
      <c r="C335" s="2">
        <v>21.91</v>
      </c>
      <c r="D335" s="1">
        <v>98</v>
      </c>
      <c r="E335" s="1">
        <v>654</v>
      </c>
      <c r="F335" s="1">
        <v>27</v>
      </c>
      <c r="G335" s="1">
        <v>94</v>
      </c>
      <c r="H335" s="1" t="str">
        <f>IF(Table1[[#This Row],[Order quantities]]&gt;Table1[[#This Row],[Availability]], "High Risk", "Low Risk")</f>
        <v>Low Risk</v>
      </c>
      <c r="I335" s="1">
        <v>4</v>
      </c>
      <c r="J335" s="1" t="s">
        <v>23</v>
      </c>
      <c r="K335" s="4">
        <v>5.8455548139999998</v>
      </c>
      <c r="L335" s="1" t="s">
        <v>37</v>
      </c>
      <c r="M335" s="1" t="s">
        <v>62</v>
      </c>
      <c r="N335" s="1">
        <v>4</v>
      </c>
      <c r="O335" s="1">
        <v>398</v>
      </c>
      <c r="P335" s="1">
        <v>24</v>
      </c>
      <c r="Q335" s="4">
        <v>88.697530330000006</v>
      </c>
      <c r="R335" s="1" t="s">
        <v>51</v>
      </c>
      <c r="S335" s="3">
        <v>2.71109453</v>
      </c>
      <c r="T335" s="1" t="s">
        <v>35</v>
      </c>
      <c r="U335" s="1" t="s">
        <v>39</v>
      </c>
      <c r="V335" s="4">
        <v>327.04218059999999</v>
      </c>
      <c r="W335" s="8">
        <f>Table1[[#This Row],[Revenue]]-Table1[[#This Row],[Shipping costs]]-Table1[[#This Row],[Manufacturing costs]]</f>
        <v>232.49909545599996</v>
      </c>
    </row>
    <row r="336" spans="1:23" ht="14.25" customHeight="1" x14ac:dyDescent="0.25">
      <c r="A336" s="1" t="s">
        <v>21</v>
      </c>
      <c r="B336" s="1" t="s">
        <v>382</v>
      </c>
      <c r="C336" s="2">
        <v>96.3</v>
      </c>
      <c r="D336" s="1">
        <v>12</v>
      </c>
      <c r="E336" s="1">
        <v>64</v>
      </c>
      <c r="F336" s="1">
        <v>9</v>
      </c>
      <c r="G336" s="1">
        <v>45</v>
      </c>
      <c r="H336" s="1" t="str">
        <f>IF(Table1[[#This Row],[Order quantities]]&gt;Table1[[#This Row],[Availability]], "High Risk", "Low Risk")</f>
        <v>High Risk</v>
      </c>
      <c r="I336" s="1">
        <v>2</v>
      </c>
      <c r="J336" s="1" t="s">
        <v>43</v>
      </c>
      <c r="K336" s="4">
        <v>9.9292207549999993</v>
      </c>
      <c r="L336" s="1" t="s">
        <v>44</v>
      </c>
      <c r="M336" s="1" t="s">
        <v>49</v>
      </c>
      <c r="N336" s="1">
        <v>26</v>
      </c>
      <c r="O336" s="1">
        <v>956</v>
      </c>
      <c r="P336" s="1">
        <v>2</v>
      </c>
      <c r="Q336" s="4">
        <v>61.398384620000002</v>
      </c>
      <c r="R336" s="1" t="s">
        <v>51</v>
      </c>
      <c r="S336" s="3">
        <v>4.6620273660000002</v>
      </c>
      <c r="T336" s="1" t="s">
        <v>27</v>
      </c>
      <c r="U336" s="1" t="s">
        <v>53</v>
      </c>
      <c r="V336" s="4">
        <v>240.9826405</v>
      </c>
      <c r="W336" s="8">
        <f>Table1[[#This Row],[Revenue]]-Table1[[#This Row],[Shipping costs]]-Table1[[#This Row],[Manufacturing costs]]</f>
        <v>169.65503512500001</v>
      </c>
    </row>
    <row r="337" spans="1:23" ht="14.25" customHeight="1" x14ac:dyDescent="0.25">
      <c r="A337" s="1" t="s">
        <v>29</v>
      </c>
      <c r="B337" s="1" t="s">
        <v>383</v>
      </c>
      <c r="C337" s="2">
        <v>13.11</v>
      </c>
      <c r="D337" s="1">
        <v>28</v>
      </c>
      <c r="E337" s="1">
        <v>142</v>
      </c>
      <c r="F337" s="1">
        <v>12</v>
      </c>
      <c r="G337" s="1">
        <v>21</v>
      </c>
      <c r="H337" s="1" t="str">
        <f>IF(Table1[[#This Row],[Order quantities]]&gt;Table1[[#This Row],[Availability]], "High Risk", "Low Risk")</f>
        <v>Low Risk</v>
      </c>
      <c r="I337" s="1">
        <v>6</v>
      </c>
      <c r="J337" s="1" t="s">
        <v>23</v>
      </c>
      <c r="K337" s="4">
        <v>7.3573479710000003</v>
      </c>
      <c r="L337" s="1" t="s">
        <v>32</v>
      </c>
      <c r="M337" s="1" t="s">
        <v>46</v>
      </c>
      <c r="N337" s="1">
        <v>13</v>
      </c>
      <c r="O337" s="1">
        <v>146</v>
      </c>
      <c r="P337" s="1">
        <v>2</v>
      </c>
      <c r="Q337" s="4">
        <v>46.614038270000002</v>
      </c>
      <c r="R337" s="1" t="s">
        <v>34</v>
      </c>
      <c r="S337" s="3">
        <v>3.9106338439999999</v>
      </c>
      <c r="T337" s="1" t="s">
        <v>27</v>
      </c>
      <c r="U337" s="1" t="s">
        <v>53</v>
      </c>
      <c r="V337" s="4">
        <v>403.4979189</v>
      </c>
      <c r="W337" s="8">
        <f>Table1[[#This Row],[Revenue]]-Table1[[#This Row],[Shipping costs]]-Table1[[#This Row],[Manufacturing costs]]</f>
        <v>349.526532659</v>
      </c>
    </row>
    <row r="338" spans="1:23" ht="14.25" customHeight="1" x14ac:dyDescent="0.25">
      <c r="A338" s="1" t="s">
        <v>21</v>
      </c>
      <c r="B338" s="1" t="s">
        <v>384</v>
      </c>
      <c r="C338" s="2">
        <v>99.7</v>
      </c>
      <c r="D338" s="1">
        <v>28</v>
      </c>
      <c r="E338" s="1">
        <v>916</v>
      </c>
      <c r="F338" s="1">
        <v>19</v>
      </c>
      <c r="G338" s="1">
        <v>13</v>
      </c>
      <c r="H338" s="1" t="str">
        <f>IF(Table1[[#This Row],[Order quantities]]&gt;Table1[[#This Row],[Availability]], "High Risk", "Low Risk")</f>
        <v>Low Risk</v>
      </c>
      <c r="I338" s="1">
        <v>8</v>
      </c>
      <c r="J338" s="1" t="s">
        <v>23</v>
      </c>
      <c r="K338" s="4">
        <v>4.1102162729999998</v>
      </c>
      <c r="L338" s="1" t="s">
        <v>41</v>
      </c>
      <c r="M338" s="1" t="s">
        <v>62</v>
      </c>
      <c r="N338" s="1">
        <v>22</v>
      </c>
      <c r="O338" s="1">
        <v>938</v>
      </c>
      <c r="P338" s="1">
        <v>11</v>
      </c>
      <c r="Q338" s="4">
        <v>51.405770510000004</v>
      </c>
      <c r="R338" s="1" t="s">
        <v>34</v>
      </c>
      <c r="S338" s="3">
        <v>3.720126778</v>
      </c>
      <c r="T338" s="1" t="s">
        <v>27</v>
      </c>
      <c r="U338" s="1" t="s">
        <v>53</v>
      </c>
      <c r="V338" s="4">
        <v>112.7819406</v>
      </c>
      <c r="W338" s="8">
        <f>Table1[[#This Row],[Revenue]]-Table1[[#This Row],[Shipping costs]]-Table1[[#This Row],[Manufacturing costs]]</f>
        <v>57.265953816999989</v>
      </c>
    </row>
    <row r="339" spans="1:23" ht="14.25" customHeight="1" x14ac:dyDescent="0.25">
      <c r="A339" s="1" t="s">
        <v>21</v>
      </c>
      <c r="B339" s="1" t="s">
        <v>385</v>
      </c>
      <c r="C339" s="2">
        <v>52.71</v>
      </c>
      <c r="D339" s="1">
        <v>74</v>
      </c>
      <c r="E339" s="1">
        <v>914</v>
      </c>
      <c r="F339" s="1">
        <v>20</v>
      </c>
      <c r="G339" s="1">
        <v>27</v>
      </c>
      <c r="H339" s="1" t="str">
        <f>IF(Table1[[#This Row],[Order quantities]]&gt;Table1[[#This Row],[Availability]], "High Risk", "Low Risk")</f>
        <v>Low Risk</v>
      </c>
      <c r="I339" s="1">
        <v>7</v>
      </c>
      <c r="J339" s="1" t="s">
        <v>23</v>
      </c>
      <c r="K339" s="4">
        <v>1.062840357</v>
      </c>
      <c r="L339" s="1" t="s">
        <v>38</v>
      </c>
      <c r="M339" s="1" t="s">
        <v>49</v>
      </c>
      <c r="N339" s="1">
        <v>27</v>
      </c>
      <c r="O339" s="1">
        <v>521</v>
      </c>
      <c r="P339" s="1">
        <v>26</v>
      </c>
      <c r="Q339" s="4">
        <v>36.791088270000003</v>
      </c>
      <c r="R339" s="1" t="s">
        <v>34</v>
      </c>
      <c r="S339" s="3">
        <v>4.4755264989999999</v>
      </c>
      <c r="T339" s="1" t="s">
        <v>27</v>
      </c>
      <c r="U339" s="1" t="s">
        <v>28</v>
      </c>
      <c r="V339" s="4">
        <v>238.07582149999999</v>
      </c>
      <c r="W339" s="8">
        <f>Table1[[#This Row],[Revenue]]-Table1[[#This Row],[Shipping costs]]-Table1[[#This Row],[Manufacturing costs]]</f>
        <v>200.221892873</v>
      </c>
    </row>
    <row r="340" spans="1:23" ht="14.25" customHeight="1" x14ac:dyDescent="0.25">
      <c r="A340" s="1" t="s">
        <v>29</v>
      </c>
      <c r="B340" s="1" t="s">
        <v>386</v>
      </c>
      <c r="C340" s="2">
        <v>61.56</v>
      </c>
      <c r="D340" s="1">
        <v>31</v>
      </c>
      <c r="E340" s="1">
        <v>827</v>
      </c>
      <c r="F340" s="1">
        <v>3</v>
      </c>
      <c r="G340" s="1">
        <v>7</v>
      </c>
      <c r="H340" s="1" t="str">
        <f>IF(Table1[[#This Row],[Order quantities]]&gt;Table1[[#This Row],[Availability]], "High Risk", "Low Risk")</f>
        <v>Low Risk</v>
      </c>
      <c r="I340" s="1">
        <v>3</v>
      </c>
      <c r="J340" s="1" t="s">
        <v>23</v>
      </c>
      <c r="K340" s="4">
        <v>4.631328721</v>
      </c>
      <c r="L340" s="1" t="s">
        <v>38</v>
      </c>
      <c r="M340" s="1" t="s">
        <v>49</v>
      </c>
      <c r="N340" s="1">
        <v>25</v>
      </c>
      <c r="O340" s="1">
        <v>579</v>
      </c>
      <c r="P340" s="1">
        <v>7</v>
      </c>
      <c r="Q340" s="4">
        <v>12.965308139999999</v>
      </c>
      <c r="R340" s="1" t="s">
        <v>51</v>
      </c>
      <c r="S340" s="3">
        <v>2.2949238369999998</v>
      </c>
      <c r="T340" s="1" t="s">
        <v>35</v>
      </c>
      <c r="U340" s="1" t="s">
        <v>53</v>
      </c>
      <c r="V340" s="4">
        <v>479.02227060000001</v>
      </c>
      <c r="W340" s="8">
        <f>Table1[[#This Row],[Revenue]]-Table1[[#This Row],[Shipping costs]]-Table1[[#This Row],[Manufacturing costs]]</f>
        <v>461.42563373900003</v>
      </c>
    </row>
    <row r="341" spans="1:23" ht="14.25" customHeight="1" x14ac:dyDescent="0.25">
      <c r="A341" s="1" t="s">
        <v>29</v>
      </c>
      <c r="B341" s="1" t="s">
        <v>387</v>
      </c>
      <c r="C341" s="2">
        <v>11.37</v>
      </c>
      <c r="D341" s="1">
        <v>1</v>
      </c>
      <c r="E341" s="1">
        <v>604</v>
      </c>
      <c r="F341" s="1">
        <v>15</v>
      </c>
      <c r="G341" s="1">
        <v>22</v>
      </c>
      <c r="H341" s="1" t="str">
        <f>IF(Table1[[#This Row],[Order quantities]]&gt;Table1[[#This Row],[Availability]], "High Risk", "Low Risk")</f>
        <v>High Risk</v>
      </c>
      <c r="I341" s="1">
        <v>8</v>
      </c>
      <c r="J341" s="1" t="s">
        <v>31</v>
      </c>
      <c r="K341" s="4">
        <v>3.1127897959999999</v>
      </c>
      <c r="L341" s="1" t="s">
        <v>41</v>
      </c>
      <c r="M341" s="1" t="s">
        <v>46</v>
      </c>
      <c r="N341" s="1">
        <v>27</v>
      </c>
      <c r="O341" s="1">
        <v>678</v>
      </c>
      <c r="P341" s="1">
        <v>6</v>
      </c>
      <c r="Q341" s="4">
        <v>63.111466530000001</v>
      </c>
      <c r="R341" s="1" t="s">
        <v>51</v>
      </c>
      <c r="S341" s="3">
        <v>2.6993186169999999</v>
      </c>
      <c r="T341" s="1" t="s">
        <v>27</v>
      </c>
      <c r="U341" s="1" t="s">
        <v>28</v>
      </c>
      <c r="V341" s="4">
        <v>161.65251330000001</v>
      </c>
      <c r="W341" s="8">
        <f>Table1[[#This Row],[Revenue]]-Table1[[#This Row],[Shipping costs]]-Table1[[#This Row],[Manufacturing costs]]</f>
        <v>95.428256974000021</v>
      </c>
    </row>
    <row r="342" spans="1:23" ht="14.25" customHeight="1" x14ac:dyDescent="0.25">
      <c r="A342" s="1" t="s">
        <v>29</v>
      </c>
      <c r="B342" s="1" t="s">
        <v>388</v>
      </c>
      <c r="C342" s="2">
        <v>76.25</v>
      </c>
      <c r="D342" s="1">
        <v>46</v>
      </c>
      <c r="E342" s="1">
        <v>472</v>
      </c>
      <c r="F342" s="1">
        <v>2</v>
      </c>
      <c r="G342" s="1">
        <v>74</v>
      </c>
      <c r="H342" s="1" t="str">
        <f>IF(Table1[[#This Row],[Order quantities]]&gt;Table1[[#This Row],[Availability]], "High Risk", "Low Risk")</f>
        <v>High Risk</v>
      </c>
      <c r="I342" s="1">
        <v>2</v>
      </c>
      <c r="J342" s="1" t="s">
        <v>43</v>
      </c>
      <c r="K342" s="4">
        <v>8.3698234350000007</v>
      </c>
      <c r="L342" s="1" t="s">
        <v>32</v>
      </c>
      <c r="M342" s="1" t="s">
        <v>49</v>
      </c>
      <c r="N342" s="1">
        <v>20</v>
      </c>
      <c r="O342" s="1">
        <v>161</v>
      </c>
      <c r="P342" s="1">
        <v>30</v>
      </c>
      <c r="Q342" s="4">
        <v>57.173920090000003</v>
      </c>
      <c r="R342" s="1" t="s">
        <v>26</v>
      </c>
      <c r="S342" s="3">
        <v>2.137294137</v>
      </c>
      <c r="T342" s="1" t="s">
        <v>35</v>
      </c>
      <c r="U342" s="1" t="s">
        <v>53</v>
      </c>
      <c r="V342" s="4">
        <v>559.66539660000001</v>
      </c>
      <c r="W342" s="8">
        <f>Table1[[#This Row],[Revenue]]-Table1[[#This Row],[Shipping costs]]-Table1[[#This Row],[Manufacturing costs]]</f>
        <v>494.12165307499993</v>
      </c>
    </row>
    <row r="343" spans="1:23" ht="14.25" customHeight="1" x14ac:dyDescent="0.25">
      <c r="A343" s="1" t="s">
        <v>29</v>
      </c>
      <c r="B343" s="1" t="s">
        <v>389</v>
      </c>
      <c r="C343" s="2">
        <v>24.94</v>
      </c>
      <c r="D343" s="1">
        <v>77</v>
      </c>
      <c r="E343" s="1">
        <v>416</v>
      </c>
      <c r="F343" s="1">
        <v>30</v>
      </c>
      <c r="G343" s="1">
        <v>53</v>
      </c>
      <c r="H343" s="1" t="str">
        <f>IF(Table1[[#This Row],[Order quantities]]&gt;Table1[[#This Row],[Availability]], "High Risk", "Low Risk")</f>
        <v>Low Risk</v>
      </c>
      <c r="I343" s="1">
        <v>9</v>
      </c>
      <c r="J343" s="1" t="s">
        <v>43</v>
      </c>
      <c r="K343" s="4">
        <v>4.0359754800000003</v>
      </c>
      <c r="L343" s="1" t="s">
        <v>44</v>
      </c>
      <c r="M343" s="1" t="s">
        <v>55</v>
      </c>
      <c r="N343" s="1">
        <v>18</v>
      </c>
      <c r="O343" s="1">
        <v>208</v>
      </c>
      <c r="P343" s="1">
        <v>10</v>
      </c>
      <c r="Q343" s="4">
        <v>35.470057189999999</v>
      </c>
      <c r="R343" s="1" t="s">
        <v>34</v>
      </c>
      <c r="S343" s="3">
        <v>4.2668469050000004</v>
      </c>
      <c r="T343" s="1" t="s">
        <v>35</v>
      </c>
      <c r="U343" s="1" t="s">
        <v>53</v>
      </c>
      <c r="V343" s="4">
        <v>509.51389460000001</v>
      </c>
      <c r="W343" s="8">
        <f>Table1[[#This Row],[Revenue]]-Table1[[#This Row],[Shipping costs]]-Table1[[#This Row],[Manufacturing costs]]</f>
        <v>470.00786193000005</v>
      </c>
    </row>
    <row r="344" spans="1:23" ht="14.25" customHeight="1" x14ac:dyDescent="0.25">
      <c r="A344" s="1" t="s">
        <v>21</v>
      </c>
      <c r="B344" s="1" t="s">
        <v>390</v>
      </c>
      <c r="C344" s="2">
        <v>90.32</v>
      </c>
      <c r="D344" s="1">
        <v>83</v>
      </c>
      <c r="E344" s="1">
        <v>304</v>
      </c>
      <c r="F344" s="1">
        <v>21</v>
      </c>
      <c r="G344" s="1">
        <v>79</v>
      </c>
      <c r="H344" s="1" t="str">
        <f>IF(Table1[[#This Row],[Order quantities]]&gt;Table1[[#This Row],[Availability]], "High Risk", "Low Risk")</f>
        <v>Low Risk</v>
      </c>
      <c r="I344" s="1">
        <v>4</v>
      </c>
      <c r="J344" s="1" t="s">
        <v>43</v>
      </c>
      <c r="K344" s="4">
        <v>8.4477132459999993</v>
      </c>
      <c r="L344" s="1" t="s">
        <v>41</v>
      </c>
      <c r="M344" s="1" t="s">
        <v>46</v>
      </c>
      <c r="N344" s="1">
        <v>14</v>
      </c>
      <c r="O344" s="1">
        <v>778</v>
      </c>
      <c r="P344" s="1">
        <v>5</v>
      </c>
      <c r="Q344" s="4">
        <v>13.41783708</v>
      </c>
      <c r="R344" s="1" t="s">
        <v>51</v>
      </c>
      <c r="S344" s="3">
        <v>1.2255413449999999</v>
      </c>
      <c r="T344" s="1" t="s">
        <v>47</v>
      </c>
      <c r="U344" s="1" t="s">
        <v>39</v>
      </c>
      <c r="V344" s="4">
        <v>790.45132630000001</v>
      </c>
      <c r="W344" s="8">
        <f>Table1[[#This Row],[Revenue]]-Table1[[#This Row],[Shipping costs]]-Table1[[#This Row],[Manufacturing costs]]</f>
        <v>768.58577597399994</v>
      </c>
    </row>
    <row r="345" spans="1:23" ht="14.25" customHeight="1" x14ac:dyDescent="0.25">
      <c r="A345" s="1" t="s">
        <v>21</v>
      </c>
      <c r="B345" s="1" t="s">
        <v>391</v>
      </c>
      <c r="C345" s="2">
        <v>24.49</v>
      </c>
      <c r="D345" s="1">
        <v>21</v>
      </c>
      <c r="E345" s="1">
        <v>735</v>
      </c>
      <c r="F345" s="1">
        <v>2</v>
      </c>
      <c r="G345" s="1">
        <v>79</v>
      </c>
      <c r="H345" s="1" t="str">
        <f>IF(Table1[[#This Row],[Order quantities]]&gt;Table1[[#This Row],[Availability]], "High Risk", "Low Risk")</f>
        <v>High Risk</v>
      </c>
      <c r="I345" s="1">
        <v>1</v>
      </c>
      <c r="J345" s="1" t="s">
        <v>43</v>
      </c>
      <c r="K345" s="4">
        <v>1.00538145</v>
      </c>
      <c r="L345" s="1" t="s">
        <v>38</v>
      </c>
      <c r="M345" s="1" t="s">
        <v>49</v>
      </c>
      <c r="N345" s="1">
        <v>18</v>
      </c>
      <c r="O345" s="1">
        <v>648</v>
      </c>
      <c r="P345" s="1">
        <v>11</v>
      </c>
      <c r="Q345" s="4">
        <v>99.513476850000004</v>
      </c>
      <c r="R345" s="1" t="s">
        <v>51</v>
      </c>
      <c r="S345" s="3">
        <v>1.2745744830000001</v>
      </c>
      <c r="T345" s="1" t="s">
        <v>27</v>
      </c>
      <c r="U345" s="1" t="s">
        <v>28</v>
      </c>
      <c r="V345" s="4">
        <v>693.82243129999995</v>
      </c>
      <c r="W345" s="8">
        <f>Table1[[#This Row],[Revenue]]-Table1[[#This Row],[Shipping costs]]-Table1[[#This Row],[Manufacturing costs]]</f>
        <v>593.30357300000003</v>
      </c>
    </row>
    <row r="346" spans="1:23" ht="14.25" customHeight="1" x14ac:dyDescent="0.25">
      <c r="A346" s="1" t="s">
        <v>29</v>
      </c>
      <c r="B346" s="1" t="s">
        <v>392</v>
      </c>
      <c r="C346" s="2">
        <v>23.12</v>
      </c>
      <c r="D346" s="1">
        <v>74</v>
      </c>
      <c r="E346" s="1">
        <v>496</v>
      </c>
      <c r="F346" s="1">
        <v>22</v>
      </c>
      <c r="G346" s="1">
        <v>4</v>
      </c>
      <c r="H346" s="1" t="str">
        <f>IF(Table1[[#This Row],[Order quantities]]&gt;Table1[[#This Row],[Availability]], "High Risk", "Low Risk")</f>
        <v>Low Risk</v>
      </c>
      <c r="I346" s="1">
        <v>8</v>
      </c>
      <c r="J346" s="1" t="s">
        <v>43</v>
      </c>
      <c r="K346" s="4">
        <v>3.7703723500000002</v>
      </c>
      <c r="L346" s="1" t="s">
        <v>41</v>
      </c>
      <c r="M346" s="1" t="s">
        <v>55</v>
      </c>
      <c r="N346" s="1">
        <v>5</v>
      </c>
      <c r="O346" s="1">
        <v>218</v>
      </c>
      <c r="P346" s="1">
        <v>1</v>
      </c>
      <c r="Q346" s="4">
        <v>53.378756809999999</v>
      </c>
      <c r="R346" s="1" t="s">
        <v>34</v>
      </c>
      <c r="S346" s="3">
        <v>1.9257650079999999</v>
      </c>
      <c r="T346" s="1" t="s">
        <v>27</v>
      </c>
      <c r="U346" s="1" t="s">
        <v>39</v>
      </c>
      <c r="V346" s="4">
        <v>501.35257480000001</v>
      </c>
      <c r="W346" s="8">
        <f>Table1[[#This Row],[Revenue]]-Table1[[#This Row],[Shipping costs]]-Table1[[#This Row],[Manufacturing costs]]</f>
        <v>444.20344564000004</v>
      </c>
    </row>
    <row r="347" spans="1:23" ht="14.25" customHeight="1" x14ac:dyDescent="0.25">
      <c r="A347" s="1" t="s">
        <v>21</v>
      </c>
      <c r="B347" s="1" t="s">
        <v>393</v>
      </c>
      <c r="C347" s="2">
        <v>8.4700000000000006</v>
      </c>
      <c r="D347" s="1">
        <v>26</v>
      </c>
      <c r="E347" s="1">
        <v>290</v>
      </c>
      <c r="F347" s="1">
        <v>3</v>
      </c>
      <c r="G347" s="1">
        <v>96</v>
      </c>
      <c r="H347" s="1" t="str">
        <f>IF(Table1[[#This Row],[Order quantities]]&gt;Table1[[#This Row],[Availability]], "High Risk", "Low Risk")</f>
        <v>High Risk</v>
      </c>
      <c r="I347" s="1">
        <v>7</v>
      </c>
      <c r="J347" s="1" t="s">
        <v>31</v>
      </c>
      <c r="K347" s="4">
        <v>3.170486929</v>
      </c>
      <c r="L347" s="1" t="s">
        <v>32</v>
      </c>
      <c r="M347" s="1" t="s">
        <v>62</v>
      </c>
      <c r="N347" s="1">
        <v>26</v>
      </c>
      <c r="O347" s="1">
        <v>697</v>
      </c>
      <c r="P347" s="1">
        <v>2</v>
      </c>
      <c r="Q347" s="4">
        <v>78.040381760000002</v>
      </c>
      <c r="R347" s="1" t="s">
        <v>26</v>
      </c>
      <c r="S347" s="3">
        <v>1.228679877</v>
      </c>
      <c r="T347" s="1" t="s">
        <v>35</v>
      </c>
      <c r="U347" s="1" t="s">
        <v>39</v>
      </c>
      <c r="V347" s="4">
        <v>302.19463009999998</v>
      </c>
      <c r="W347" s="8">
        <f>Table1[[#This Row],[Revenue]]-Table1[[#This Row],[Shipping costs]]-Table1[[#This Row],[Manufacturing costs]]</f>
        <v>220.98376141099999</v>
      </c>
    </row>
    <row r="348" spans="1:23" ht="14.25" customHeight="1" x14ac:dyDescent="0.25">
      <c r="A348" s="1" t="s">
        <v>29</v>
      </c>
      <c r="B348" s="1" t="s">
        <v>394</v>
      </c>
      <c r="C348" s="2">
        <v>49.85</v>
      </c>
      <c r="D348" s="1">
        <v>66</v>
      </c>
      <c r="E348" s="1">
        <v>939</v>
      </c>
      <c r="F348" s="1">
        <v>6</v>
      </c>
      <c r="G348" s="1">
        <v>23</v>
      </c>
      <c r="H348" s="1" t="str">
        <f>IF(Table1[[#This Row],[Order quantities]]&gt;Table1[[#This Row],[Availability]], "High Risk", "Low Risk")</f>
        <v>Low Risk</v>
      </c>
      <c r="I348" s="1">
        <v>5</v>
      </c>
      <c r="J348" s="1" t="s">
        <v>43</v>
      </c>
      <c r="K348" s="4">
        <v>3.1021062499999998</v>
      </c>
      <c r="L348" s="1" t="s">
        <v>41</v>
      </c>
      <c r="M348" s="1" t="s">
        <v>46</v>
      </c>
      <c r="N348" s="1">
        <v>9</v>
      </c>
      <c r="O348" s="1">
        <v>481</v>
      </c>
      <c r="P348" s="1">
        <v>24</v>
      </c>
      <c r="Q348" s="4">
        <v>50.708263160000001</v>
      </c>
      <c r="R348" s="1" t="s">
        <v>34</v>
      </c>
      <c r="S348" s="3">
        <v>2.8489334980000001</v>
      </c>
      <c r="T348" s="1" t="s">
        <v>47</v>
      </c>
      <c r="U348" s="1" t="s">
        <v>28</v>
      </c>
      <c r="V348" s="4">
        <v>754.17720940000004</v>
      </c>
      <c r="W348" s="8">
        <f>Table1[[#This Row],[Revenue]]-Table1[[#This Row],[Shipping costs]]-Table1[[#This Row],[Manufacturing costs]]</f>
        <v>700.36683999000002</v>
      </c>
    </row>
    <row r="349" spans="1:23" ht="14.25" customHeight="1" x14ac:dyDescent="0.25">
      <c r="A349" s="1" t="s">
        <v>29</v>
      </c>
      <c r="B349" s="1" t="s">
        <v>395</v>
      </c>
      <c r="C349" s="2">
        <v>58.66</v>
      </c>
      <c r="D349" s="1">
        <v>80</v>
      </c>
      <c r="E349" s="1">
        <v>101</v>
      </c>
      <c r="F349" s="1">
        <v>15</v>
      </c>
      <c r="G349" s="1">
        <v>70</v>
      </c>
      <c r="H349" s="1" t="str">
        <f>IF(Table1[[#This Row],[Order quantities]]&gt;Table1[[#This Row],[Availability]], "High Risk", "Low Risk")</f>
        <v>Low Risk</v>
      </c>
      <c r="I349" s="1">
        <v>5</v>
      </c>
      <c r="J349" s="1" t="s">
        <v>31</v>
      </c>
      <c r="K349" s="4">
        <v>1.6136795779999999</v>
      </c>
      <c r="L349" s="1" t="s">
        <v>37</v>
      </c>
      <c r="M349" s="1" t="s">
        <v>49</v>
      </c>
      <c r="N349" s="1">
        <v>28</v>
      </c>
      <c r="O349" s="1">
        <v>491</v>
      </c>
      <c r="P349" s="1">
        <v>1</v>
      </c>
      <c r="Q349" s="4">
        <v>13.88532618</v>
      </c>
      <c r="R349" s="1" t="s">
        <v>37</v>
      </c>
      <c r="S349" s="3">
        <v>0.75900152200000004</v>
      </c>
      <c r="T349" s="1" t="s">
        <v>35</v>
      </c>
      <c r="U349" s="1" t="s">
        <v>53</v>
      </c>
      <c r="V349" s="4">
        <v>737.07589310000003</v>
      </c>
      <c r="W349" s="8">
        <f>Table1[[#This Row],[Revenue]]-Table1[[#This Row],[Shipping costs]]-Table1[[#This Row],[Manufacturing costs]]</f>
        <v>721.57688734200008</v>
      </c>
    </row>
    <row r="350" spans="1:23" ht="14.25" customHeight="1" x14ac:dyDescent="0.25">
      <c r="A350" s="1" t="s">
        <v>29</v>
      </c>
      <c r="B350" s="1" t="s">
        <v>396</v>
      </c>
      <c r="C350" s="2">
        <v>11.24</v>
      </c>
      <c r="D350" s="1">
        <v>55</v>
      </c>
      <c r="E350" s="1">
        <v>985</v>
      </c>
      <c r="F350" s="1">
        <v>27</v>
      </c>
      <c r="G350" s="1">
        <v>88</v>
      </c>
      <c r="H350" s="1" t="str">
        <f>IF(Table1[[#This Row],[Order quantities]]&gt;Table1[[#This Row],[Availability]], "High Risk", "Low Risk")</f>
        <v>High Risk</v>
      </c>
      <c r="I350" s="1">
        <v>7</v>
      </c>
      <c r="J350" s="1" t="s">
        <v>23</v>
      </c>
      <c r="K350" s="4">
        <v>2.6841184340000002</v>
      </c>
      <c r="L350" s="1" t="s">
        <v>44</v>
      </c>
      <c r="M350" s="1" t="s">
        <v>33</v>
      </c>
      <c r="N350" s="1">
        <v>3</v>
      </c>
      <c r="O350" s="1">
        <v>151</v>
      </c>
      <c r="P350" s="1">
        <v>19</v>
      </c>
      <c r="Q350" s="4">
        <v>37.864067060000004</v>
      </c>
      <c r="R350" s="1" t="s">
        <v>34</v>
      </c>
      <c r="S350" s="3">
        <v>1.668912475</v>
      </c>
      <c r="T350" s="1" t="s">
        <v>27</v>
      </c>
      <c r="U350" s="1" t="s">
        <v>39</v>
      </c>
      <c r="V350" s="4">
        <v>237.9665445</v>
      </c>
      <c r="W350" s="8">
        <f>Table1[[#This Row],[Revenue]]-Table1[[#This Row],[Shipping costs]]-Table1[[#This Row],[Manufacturing costs]]</f>
        <v>197.418359006</v>
      </c>
    </row>
    <row r="351" spans="1:23" ht="14.25" customHeight="1" x14ac:dyDescent="0.25">
      <c r="A351" s="1" t="s">
        <v>21</v>
      </c>
      <c r="B351" s="1" t="s">
        <v>397</v>
      </c>
      <c r="C351" s="2">
        <v>78.680000000000007</v>
      </c>
      <c r="D351" s="1">
        <v>91</v>
      </c>
      <c r="E351" s="1">
        <v>266</v>
      </c>
      <c r="F351" s="1">
        <v>10</v>
      </c>
      <c r="G351" s="1">
        <v>84</v>
      </c>
      <c r="H351" s="1" t="str">
        <f>IF(Table1[[#This Row],[Order quantities]]&gt;Table1[[#This Row],[Availability]], "High Risk", "Low Risk")</f>
        <v>Low Risk</v>
      </c>
      <c r="I351" s="1">
        <v>5</v>
      </c>
      <c r="J351" s="1" t="s">
        <v>31</v>
      </c>
      <c r="K351" s="4">
        <v>5.9999461289999996</v>
      </c>
      <c r="L351" s="1" t="s">
        <v>38</v>
      </c>
      <c r="M351" s="1" t="s">
        <v>49</v>
      </c>
      <c r="N351" s="1">
        <v>8</v>
      </c>
      <c r="O351" s="1">
        <v>702</v>
      </c>
      <c r="P351" s="1">
        <v>2</v>
      </c>
      <c r="Q351" s="4">
        <v>38.809912689999997</v>
      </c>
      <c r="R351" s="1" t="s">
        <v>34</v>
      </c>
      <c r="S351" s="3">
        <v>4.5758790229999997</v>
      </c>
      <c r="T351" s="1" t="s">
        <v>35</v>
      </c>
      <c r="U351" s="1" t="s">
        <v>28</v>
      </c>
      <c r="V351" s="4">
        <v>923.27664830000003</v>
      </c>
      <c r="W351" s="8">
        <f>Table1[[#This Row],[Revenue]]-Table1[[#This Row],[Shipping costs]]-Table1[[#This Row],[Manufacturing costs]]</f>
        <v>878.46678948099998</v>
      </c>
    </row>
    <row r="352" spans="1:23" ht="14.25" customHeight="1" x14ac:dyDescent="0.25">
      <c r="A352" s="1" t="s">
        <v>29</v>
      </c>
      <c r="B352" s="1" t="s">
        <v>398</v>
      </c>
      <c r="C352" s="2">
        <v>48.06</v>
      </c>
      <c r="D352" s="1">
        <v>92</v>
      </c>
      <c r="E352" s="1">
        <v>866</v>
      </c>
      <c r="F352" s="1">
        <v>9</v>
      </c>
      <c r="G352" s="1">
        <v>84</v>
      </c>
      <c r="H352" s="1" t="str">
        <f>IF(Table1[[#This Row],[Order quantities]]&gt;Table1[[#This Row],[Availability]], "High Risk", "Low Risk")</f>
        <v>Low Risk</v>
      </c>
      <c r="I352" s="1">
        <v>8</v>
      </c>
      <c r="J352" s="1" t="s">
        <v>31</v>
      </c>
      <c r="K352" s="4">
        <v>3.6222496560000002</v>
      </c>
      <c r="L352" s="1" t="s">
        <v>32</v>
      </c>
      <c r="M352" s="1" t="s">
        <v>55</v>
      </c>
      <c r="N352" s="1">
        <v>20</v>
      </c>
      <c r="O352" s="1">
        <v>388</v>
      </c>
      <c r="P352" s="1">
        <v>21</v>
      </c>
      <c r="Q352" s="4">
        <v>85.451761360000006</v>
      </c>
      <c r="R352" s="1" t="s">
        <v>51</v>
      </c>
      <c r="S352" s="3">
        <v>2.105204853</v>
      </c>
      <c r="T352" s="1" t="s">
        <v>27</v>
      </c>
      <c r="U352" s="1" t="s">
        <v>53</v>
      </c>
      <c r="V352" s="4">
        <v>157.96460440000001</v>
      </c>
      <c r="W352" s="8">
        <f>Table1[[#This Row],[Revenue]]-Table1[[#This Row],[Shipping costs]]-Table1[[#This Row],[Manufacturing costs]]</f>
        <v>68.890593383999999</v>
      </c>
    </row>
    <row r="353" spans="1:23" ht="14.25" customHeight="1" x14ac:dyDescent="0.25">
      <c r="A353" s="1" t="s">
        <v>21</v>
      </c>
      <c r="B353" s="1" t="s">
        <v>399</v>
      </c>
      <c r="C353" s="2">
        <v>54.82</v>
      </c>
      <c r="D353" s="1">
        <v>20</v>
      </c>
      <c r="E353" s="1">
        <v>967</v>
      </c>
      <c r="F353" s="1">
        <v>1</v>
      </c>
      <c r="G353" s="1">
        <v>76</v>
      </c>
      <c r="H353" s="1" t="str">
        <f>IF(Table1[[#This Row],[Order quantities]]&gt;Table1[[#This Row],[Availability]], "High Risk", "Low Risk")</f>
        <v>High Risk</v>
      </c>
      <c r="I353" s="1">
        <v>6</v>
      </c>
      <c r="J353" s="1" t="s">
        <v>43</v>
      </c>
      <c r="K353" s="4">
        <v>4.7565530410000001</v>
      </c>
      <c r="L353" s="1" t="s">
        <v>44</v>
      </c>
      <c r="M353" s="1" t="s">
        <v>55</v>
      </c>
      <c r="N353" s="1">
        <v>22</v>
      </c>
      <c r="O353" s="1">
        <v>436</v>
      </c>
      <c r="P353" s="1">
        <v>20</v>
      </c>
      <c r="Q353" s="4">
        <v>68.880698019999997</v>
      </c>
      <c r="R353" s="1" t="s">
        <v>26</v>
      </c>
      <c r="S353" s="3">
        <v>3.766345211</v>
      </c>
      <c r="T353" s="1" t="s">
        <v>47</v>
      </c>
      <c r="U353" s="1" t="s">
        <v>53</v>
      </c>
      <c r="V353" s="4">
        <v>149.53393800000001</v>
      </c>
      <c r="W353" s="8">
        <f>Table1[[#This Row],[Revenue]]-Table1[[#This Row],[Shipping costs]]-Table1[[#This Row],[Manufacturing costs]]</f>
        <v>75.89668693900002</v>
      </c>
    </row>
    <row r="354" spans="1:23" ht="14.25" customHeight="1" x14ac:dyDescent="0.25">
      <c r="A354" s="1" t="s">
        <v>29</v>
      </c>
      <c r="B354" s="1" t="s">
        <v>400</v>
      </c>
      <c r="C354" s="2">
        <v>43.07</v>
      </c>
      <c r="D354" s="1">
        <v>79</v>
      </c>
      <c r="E354" s="1">
        <v>973</v>
      </c>
      <c r="F354" s="1">
        <v>6</v>
      </c>
      <c r="G354" s="1">
        <v>28</v>
      </c>
      <c r="H354" s="1" t="str">
        <f>IF(Table1[[#This Row],[Order quantities]]&gt;Table1[[#This Row],[Availability]], "High Risk", "Low Risk")</f>
        <v>Low Risk</v>
      </c>
      <c r="I354" s="1">
        <v>9</v>
      </c>
      <c r="J354" s="1" t="s">
        <v>23</v>
      </c>
      <c r="K354" s="4">
        <v>8.883144325</v>
      </c>
      <c r="L354" s="1" t="s">
        <v>37</v>
      </c>
      <c r="M354" s="1" t="s">
        <v>46</v>
      </c>
      <c r="N354" s="1">
        <v>22</v>
      </c>
      <c r="O354" s="1">
        <v>303</v>
      </c>
      <c r="P354" s="1">
        <v>23</v>
      </c>
      <c r="Q354" s="4">
        <v>97.096595919999999</v>
      </c>
      <c r="R354" s="1" t="s">
        <v>26</v>
      </c>
      <c r="S354" s="3">
        <v>1.31306609</v>
      </c>
      <c r="T354" s="1" t="s">
        <v>27</v>
      </c>
      <c r="U354" s="1" t="s">
        <v>53</v>
      </c>
      <c r="V354" s="4">
        <v>918.51471819999995</v>
      </c>
      <c r="W354" s="8">
        <f>Table1[[#This Row],[Revenue]]-Table1[[#This Row],[Shipping costs]]-Table1[[#This Row],[Manufacturing costs]]</f>
        <v>812.53497795499993</v>
      </c>
    </row>
    <row r="355" spans="1:23" ht="14.25" customHeight="1" x14ac:dyDescent="0.25">
      <c r="A355" s="1" t="s">
        <v>21</v>
      </c>
      <c r="B355" s="1" t="s">
        <v>401</v>
      </c>
      <c r="C355" s="2">
        <v>58.17</v>
      </c>
      <c r="D355" s="1">
        <v>58</v>
      </c>
      <c r="E355" s="1">
        <v>841</v>
      </c>
      <c r="F355" s="1">
        <v>9</v>
      </c>
      <c r="G355" s="1">
        <v>8</v>
      </c>
      <c r="H355" s="1" t="str">
        <f>IF(Table1[[#This Row],[Order quantities]]&gt;Table1[[#This Row],[Availability]], "High Risk", "Low Risk")</f>
        <v>Low Risk</v>
      </c>
      <c r="I355" s="1">
        <v>2</v>
      </c>
      <c r="J355" s="1" t="s">
        <v>43</v>
      </c>
      <c r="K355" s="4">
        <v>9.1476909909999993</v>
      </c>
      <c r="L355" s="1" t="s">
        <v>38</v>
      </c>
      <c r="M355" s="1" t="s">
        <v>62</v>
      </c>
      <c r="N355" s="1">
        <v>19</v>
      </c>
      <c r="O355" s="1">
        <v>979</v>
      </c>
      <c r="P355" s="1">
        <v>21</v>
      </c>
      <c r="Q355" s="4">
        <v>38.938764919999997</v>
      </c>
      <c r="R355" s="1" t="s">
        <v>26</v>
      </c>
      <c r="S355" s="3">
        <v>4.0559935439999997</v>
      </c>
      <c r="T355" s="1" t="s">
        <v>47</v>
      </c>
      <c r="U355" s="1" t="s">
        <v>28</v>
      </c>
      <c r="V355" s="4">
        <v>567.99831159999997</v>
      </c>
      <c r="W355" s="8">
        <f>Table1[[#This Row],[Revenue]]-Table1[[#This Row],[Shipping costs]]-Table1[[#This Row],[Manufacturing costs]]</f>
        <v>519.91185568899994</v>
      </c>
    </row>
    <row r="356" spans="1:23" ht="14.25" customHeight="1" x14ac:dyDescent="0.25">
      <c r="A356" s="1" t="s">
        <v>29</v>
      </c>
      <c r="B356" s="1" t="s">
        <v>402</v>
      </c>
      <c r="C356" s="2">
        <v>19.75</v>
      </c>
      <c r="D356" s="1">
        <v>83</v>
      </c>
      <c r="E356" s="1">
        <v>961</v>
      </c>
      <c r="F356" s="1">
        <v>27</v>
      </c>
      <c r="G356" s="1">
        <v>1</v>
      </c>
      <c r="H356" s="1" t="str">
        <f>IF(Table1[[#This Row],[Order quantities]]&gt;Table1[[#This Row],[Availability]], "High Risk", "Low Risk")</f>
        <v>Low Risk</v>
      </c>
      <c r="I356" s="1">
        <v>1</v>
      </c>
      <c r="J356" s="1" t="s">
        <v>43</v>
      </c>
      <c r="K356" s="4">
        <v>5.4366127449999997</v>
      </c>
      <c r="L356" s="1" t="s">
        <v>38</v>
      </c>
      <c r="M356" s="1" t="s">
        <v>25</v>
      </c>
      <c r="N356" s="1">
        <v>30</v>
      </c>
      <c r="O356" s="1">
        <v>337</v>
      </c>
      <c r="P356" s="1">
        <v>24</v>
      </c>
      <c r="Q356" s="4">
        <v>99.84106233</v>
      </c>
      <c r="R356" s="1" t="s">
        <v>34</v>
      </c>
      <c r="S356" s="3">
        <v>3.8386653879999999</v>
      </c>
      <c r="T356" s="1" t="s">
        <v>35</v>
      </c>
      <c r="U356" s="1" t="s">
        <v>39</v>
      </c>
      <c r="V356" s="4">
        <v>809.14682860000005</v>
      </c>
      <c r="W356" s="8">
        <f>Table1[[#This Row],[Revenue]]-Table1[[#This Row],[Shipping costs]]-Table1[[#This Row],[Manufacturing costs]]</f>
        <v>703.869153525</v>
      </c>
    </row>
    <row r="357" spans="1:23" ht="14.25" customHeight="1" x14ac:dyDescent="0.25">
      <c r="A357" s="1" t="s">
        <v>29</v>
      </c>
      <c r="B357" s="1" t="s">
        <v>403</v>
      </c>
      <c r="C357" s="2">
        <v>22.28</v>
      </c>
      <c r="D357" s="1">
        <v>5</v>
      </c>
      <c r="E357" s="1">
        <v>941</v>
      </c>
      <c r="F357" s="1">
        <v>4</v>
      </c>
      <c r="G357" s="1">
        <v>37</v>
      </c>
      <c r="H357" s="1" t="str">
        <f>IF(Table1[[#This Row],[Order quantities]]&gt;Table1[[#This Row],[Availability]], "High Risk", "Low Risk")</f>
        <v>High Risk</v>
      </c>
      <c r="I357" s="1">
        <v>8</v>
      </c>
      <c r="J357" s="1" t="s">
        <v>23</v>
      </c>
      <c r="K357" s="4">
        <v>3.971403553</v>
      </c>
      <c r="L357" s="1" t="s">
        <v>24</v>
      </c>
      <c r="M357" s="1" t="s">
        <v>46</v>
      </c>
      <c r="N357" s="1">
        <v>21</v>
      </c>
      <c r="O357" s="1">
        <v>481</v>
      </c>
      <c r="P357" s="1">
        <v>4</v>
      </c>
      <c r="Q357" s="4">
        <v>99.654732390000007</v>
      </c>
      <c r="R357" s="1" t="s">
        <v>26</v>
      </c>
      <c r="S357" s="3">
        <v>1.9921640009999999</v>
      </c>
      <c r="T357" s="1" t="s">
        <v>35</v>
      </c>
      <c r="U357" s="1" t="s">
        <v>39</v>
      </c>
      <c r="V357" s="4">
        <v>305.05886930000003</v>
      </c>
      <c r="W357" s="8">
        <f>Table1[[#This Row],[Revenue]]-Table1[[#This Row],[Shipping costs]]-Table1[[#This Row],[Manufacturing costs]]</f>
        <v>201.43273335700002</v>
      </c>
    </row>
    <row r="358" spans="1:23" ht="14.25" customHeight="1" x14ac:dyDescent="0.25">
      <c r="A358" s="1" t="s">
        <v>21</v>
      </c>
      <c r="B358" s="1" t="s">
        <v>404</v>
      </c>
      <c r="C358" s="2">
        <v>86.87</v>
      </c>
      <c r="D358" s="1">
        <v>18</v>
      </c>
      <c r="E358" s="1">
        <v>776</v>
      </c>
      <c r="F358" s="1">
        <v>27</v>
      </c>
      <c r="G358" s="1">
        <v>63</v>
      </c>
      <c r="H358" s="1" t="str">
        <f>IF(Table1[[#This Row],[Order quantities]]&gt;Table1[[#This Row],[Availability]], "High Risk", "Low Risk")</f>
        <v>High Risk</v>
      </c>
      <c r="I358" s="1">
        <v>3</v>
      </c>
      <c r="J358" s="1" t="s">
        <v>43</v>
      </c>
      <c r="K358" s="4">
        <v>1.9612063360000001</v>
      </c>
      <c r="L358" s="1" t="s">
        <v>41</v>
      </c>
      <c r="M358" s="1" t="s">
        <v>46</v>
      </c>
      <c r="N358" s="1">
        <v>28</v>
      </c>
      <c r="O358" s="1">
        <v>766</v>
      </c>
      <c r="P358" s="1">
        <v>12</v>
      </c>
      <c r="Q358" s="4">
        <v>27.208946600000001</v>
      </c>
      <c r="R358" s="1" t="s">
        <v>34</v>
      </c>
      <c r="S358" s="3">
        <v>4.7765448199999998</v>
      </c>
      <c r="T358" s="1" t="s">
        <v>35</v>
      </c>
      <c r="U358" s="1" t="s">
        <v>39</v>
      </c>
      <c r="V358" s="4">
        <v>541.19977719999997</v>
      </c>
      <c r="W358" s="8">
        <f>Table1[[#This Row],[Revenue]]-Table1[[#This Row],[Shipping costs]]-Table1[[#This Row],[Manufacturing costs]]</f>
        <v>512.02962426399995</v>
      </c>
    </row>
    <row r="359" spans="1:23" ht="14.25" customHeight="1" x14ac:dyDescent="0.25">
      <c r="A359" s="1" t="s">
        <v>21</v>
      </c>
      <c r="B359" s="1" t="s">
        <v>405</v>
      </c>
      <c r="C359" s="2">
        <v>94.88</v>
      </c>
      <c r="D359" s="1">
        <v>56</v>
      </c>
      <c r="E359" s="1">
        <v>2</v>
      </c>
      <c r="F359" s="1">
        <v>28</v>
      </c>
      <c r="G359" s="1">
        <v>22</v>
      </c>
      <c r="H359" s="1" t="str">
        <f>IF(Table1[[#This Row],[Order quantities]]&gt;Table1[[#This Row],[Availability]], "High Risk", "Low Risk")</f>
        <v>Low Risk</v>
      </c>
      <c r="I359" s="1">
        <v>7</v>
      </c>
      <c r="J359" s="1" t="s">
        <v>31</v>
      </c>
      <c r="K359" s="4">
        <v>9.5806259140000005</v>
      </c>
      <c r="L359" s="1" t="s">
        <v>38</v>
      </c>
      <c r="M359" s="1" t="s">
        <v>49</v>
      </c>
      <c r="N359" s="1">
        <v>3</v>
      </c>
      <c r="O359" s="1">
        <v>851</v>
      </c>
      <c r="P359" s="1">
        <v>22</v>
      </c>
      <c r="Q359" s="4">
        <v>38.146700459999998</v>
      </c>
      <c r="R359" s="1" t="s">
        <v>34</v>
      </c>
      <c r="S359" s="3">
        <v>4.5621507780000004</v>
      </c>
      <c r="T359" s="1" t="s">
        <v>47</v>
      </c>
      <c r="U359" s="1" t="s">
        <v>28</v>
      </c>
      <c r="V359" s="4">
        <v>422.46051729999999</v>
      </c>
      <c r="W359" s="8">
        <f>Table1[[#This Row],[Revenue]]-Table1[[#This Row],[Shipping costs]]-Table1[[#This Row],[Manufacturing costs]]</f>
        <v>374.73319092600002</v>
      </c>
    </row>
    <row r="360" spans="1:23" ht="14.25" customHeight="1" x14ac:dyDescent="0.25">
      <c r="A360" s="1" t="s">
        <v>21</v>
      </c>
      <c r="B360" s="1" t="s">
        <v>406</v>
      </c>
      <c r="C360" s="2">
        <v>40.46</v>
      </c>
      <c r="D360" s="1">
        <v>68</v>
      </c>
      <c r="E360" s="1">
        <v>84</v>
      </c>
      <c r="F360" s="1">
        <v>2</v>
      </c>
      <c r="G360" s="1">
        <v>70</v>
      </c>
      <c r="H360" s="1" t="str">
        <f>IF(Table1[[#This Row],[Order quantities]]&gt;Table1[[#This Row],[Availability]], "High Risk", "Low Risk")</f>
        <v>High Risk</v>
      </c>
      <c r="I360" s="1">
        <v>8</v>
      </c>
      <c r="J360" s="1" t="s">
        <v>43</v>
      </c>
      <c r="K360" s="4">
        <v>1.5420425040000001</v>
      </c>
      <c r="L360" s="1" t="s">
        <v>38</v>
      </c>
      <c r="M360" s="1" t="s">
        <v>62</v>
      </c>
      <c r="N360" s="1">
        <v>11</v>
      </c>
      <c r="O360" s="1">
        <v>235</v>
      </c>
      <c r="P360" s="1">
        <v>20</v>
      </c>
      <c r="Q360" s="4">
        <v>53.743977860000001</v>
      </c>
      <c r="R360" s="1" t="s">
        <v>34</v>
      </c>
      <c r="S360" s="3">
        <v>4.8152736709999999</v>
      </c>
      <c r="T360" s="1" t="s">
        <v>47</v>
      </c>
      <c r="U360" s="1" t="s">
        <v>53</v>
      </c>
      <c r="V360" s="4">
        <v>845.04574639999998</v>
      </c>
      <c r="W360" s="8">
        <f>Table1[[#This Row],[Revenue]]-Table1[[#This Row],[Shipping costs]]-Table1[[#This Row],[Manufacturing costs]]</f>
        <v>789.75972603599996</v>
      </c>
    </row>
    <row r="361" spans="1:23" ht="14.25" customHeight="1" x14ac:dyDescent="0.25">
      <c r="A361" s="1" t="s">
        <v>21</v>
      </c>
      <c r="B361" s="1" t="s">
        <v>407</v>
      </c>
      <c r="C361" s="2">
        <v>30.72</v>
      </c>
      <c r="D361" s="1">
        <v>2</v>
      </c>
      <c r="E361" s="1">
        <v>793</v>
      </c>
      <c r="F361" s="1">
        <v>29</v>
      </c>
      <c r="G361" s="1">
        <v>21</v>
      </c>
      <c r="H361" s="1" t="str">
        <f>IF(Table1[[#This Row],[Order quantities]]&gt;Table1[[#This Row],[Availability]], "High Risk", "Low Risk")</f>
        <v>High Risk</v>
      </c>
      <c r="I361" s="1">
        <v>6</v>
      </c>
      <c r="J361" s="1" t="s">
        <v>23</v>
      </c>
      <c r="K361" s="4">
        <v>3.6788524979999999</v>
      </c>
      <c r="L361" s="1" t="s">
        <v>38</v>
      </c>
      <c r="M361" s="1" t="s">
        <v>62</v>
      </c>
      <c r="N361" s="1">
        <v>11</v>
      </c>
      <c r="O361" s="1">
        <v>506</v>
      </c>
      <c r="P361" s="1">
        <v>18</v>
      </c>
      <c r="Q361" s="4">
        <v>69.769060400000001</v>
      </c>
      <c r="R361" s="1" t="s">
        <v>34</v>
      </c>
      <c r="S361" s="3">
        <v>2.1967819820000001</v>
      </c>
      <c r="T361" s="1" t="s">
        <v>27</v>
      </c>
      <c r="U361" s="1" t="s">
        <v>53</v>
      </c>
      <c r="V361" s="4">
        <v>120.3439954</v>
      </c>
      <c r="W361" s="8">
        <f>Table1[[#This Row],[Revenue]]-Table1[[#This Row],[Shipping costs]]-Table1[[#This Row],[Manufacturing costs]]</f>
        <v>46.896082501999999</v>
      </c>
    </row>
    <row r="362" spans="1:23" ht="14.25" customHeight="1" x14ac:dyDescent="0.25">
      <c r="A362" s="1" t="s">
        <v>21</v>
      </c>
      <c r="B362" s="1" t="s">
        <v>408</v>
      </c>
      <c r="C362" s="2">
        <v>66.180000000000007</v>
      </c>
      <c r="D362" s="1">
        <v>0</v>
      </c>
      <c r="E362" s="1">
        <v>327</v>
      </c>
      <c r="F362" s="1">
        <v>4</v>
      </c>
      <c r="G362" s="1">
        <v>96</v>
      </c>
      <c r="H362" s="1" t="str">
        <f>IF(Table1[[#This Row],[Order quantities]]&gt;Table1[[#This Row],[Availability]], "High Risk", "Low Risk")</f>
        <v>High Risk</v>
      </c>
      <c r="I362" s="1">
        <v>9</v>
      </c>
      <c r="J362" s="1" t="s">
        <v>43</v>
      </c>
      <c r="K362" s="4">
        <v>3.6825958110000001</v>
      </c>
      <c r="L362" s="1" t="s">
        <v>24</v>
      </c>
      <c r="M362" s="1" t="s">
        <v>33</v>
      </c>
      <c r="N362" s="1">
        <v>17</v>
      </c>
      <c r="O362" s="1">
        <v>607</v>
      </c>
      <c r="P362" s="1">
        <v>1</v>
      </c>
      <c r="Q362" s="4">
        <v>57.52427041</v>
      </c>
      <c r="R362" s="1" t="s">
        <v>34</v>
      </c>
      <c r="S362" s="3">
        <v>1.0676205599999999</v>
      </c>
      <c r="T362" s="1" t="s">
        <v>47</v>
      </c>
      <c r="U362" s="1" t="s">
        <v>28</v>
      </c>
      <c r="V362" s="4">
        <v>319.45845700000001</v>
      </c>
      <c r="W362" s="8">
        <f>Table1[[#This Row],[Revenue]]-Table1[[#This Row],[Shipping costs]]-Table1[[#This Row],[Manufacturing costs]]</f>
        <v>258.25159077900003</v>
      </c>
    </row>
    <row r="363" spans="1:23" ht="14.25" customHeight="1" x14ac:dyDescent="0.25">
      <c r="A363" s="1" t="s">
        <v>29</v>
      </c>
      <c r="B363" s="1" t="s">
        <v>409</v>
      </c>
      <c r="C363" s="2">
        <v>43.83</v>
      </c>
      <c r="D363" s="1">
        <v>57</v>
      </c>
      <c r="E363" s="1">
        <v>815</v>
      </c>
      <c r="F363" s="1">
        <v>1</v>
      </c>
      <c r="G363" s="1">
        <v>35</v>
      </c>
      <c r="H363" s="1" t="str">
        <f>IF(Table1[[#This Row],[Order quantities]]&gt;Table1[[#This Row],[Availability]], "High Risk", "Low Risk")</f>
        <v>Low Risk</v>
      </c>
      <c r="I363" s="1">
        <v>7</v>
      </c>
      <c r="J363" s="1" t="s">
        <v>31</v>
      </c>
      <c r="K363" s="4">
        <v>3.8836115750000002</v>
      </c>
      <c r="L363" s="1" t="s">
        <v>38</v>
      </c>
      <c r="M363" s="1" t="s">
        <v>62</v>
      </c>
      <c r="N363" s="1">
        <v>16</v>
      </c>
      <c r="O363" s="1">
        <v>461</v>
      </c>
      <c r="P363" s="1">
        <v>30</v>
      </c>
      <c r="Q363" s="4">
        <v>97.249732219999999</v>
      </c>
      <c r="R363" s="1" t="s">
        <v>34</v>
      </c>
      <c r="S363" s="3">
        <v>3.170627332</v>
      </c>
      <c r="T363" s="1" t="s">
        <v>27</v>
      </c>
      <c r="U363" s="1" t="s">
        <v>28</v>
      </c>
      <c r="V363" s="4">
        <v>237.3168019</v>
      </c>
      <c r="W363" s="8">
        <f>Table1[[#This Row],[Revenue]]-Table1[[#This Row],[Shipping costs]]-Table1[[#This Row],[Manufacturing costs]]</f>
        <v>136.183458105</v>
      </c>
    </row>
    <row r="364" spans="1:23" ht="14.25" customHeight="1" x14ac:dyDescent="0.25">
      <c r="A364" s="1" t="s">
        <v>21</v>
      </c>
      <c r="B364" s="1" t="s">
        <v>410</v>
      </c>
      <c r="C364" s="2">
        <v>7.41</v>
      </c>
      <c r="D364" s="1">
        <v>37</v>
      </c>
      <c r="E364" s="1">
        <v>449</v>
      </c>
      <c r="F364" s="1">
        <v>19</v>
      </c>
      <c r="G364" s="1">
        <v>79</v>
      </c>
      <c r="H364" s="1" t="str">
        <f>IF(Table1[[#This Row],[Order quantities]]&gt;Table1[[#This Row],[Availability]], "High Risk", "Low Risk")</f>
        <v>High Risk</v>
      </c>
      <c r="I364" s="1">
        <v>5</v>
      </c>
      <c r="J364" s="1" t="s">
        <v>31</v>
      </c>
      <c r="K364" s="4">
        <v>2.478581589</v>
      </c>
      <c r="L364" s="1" t="s">
        <v>44</v>
      </c>
      <c r="M364" s="1" t="s">
        <v>55</v>
      </c>
      <c r="N364" s="1">
        <v>7</v>
      </c>
      <c r="O364" s="1">
        <v>480</v>
      </c>
      <c r="P364" s="1">
        <v>30</v>
      </c>
      <c r="Q364" s="4">
        <v>75.159024779999996</v>
      </c>
      <c r="R364" s="1" t="s">
        <v>51</v>
      </c>
      <c r="S364" s="3">
        <v>3.455388476</v>
      </c>
      <c r="T364" s="1" t="s">
        <v>47</v>
      </c>
      <c r="U364" s="1" t="s">
        <v>39</v>
      </c>
      <c r="V364" s="4">
        <v>873.27013480000005</v>
      </c>
      <c r="W364" s="8">
        <f>Table1[[#This Row],[Revenue]]-Table1[[#This Row],[Shipping costs]]-Table1[[#This Row],[Manufacturing costs]]</f>
        <v>795.63252843100008</v>
      </c>
    </row>
    <row r="365" spans="1:23" ht="14.25" customHeight="1" x14ac:dyDescent="0.25">
      <c r="A365" s="1" t="s">
        <v>21</v>
      </c>
      <c r="B365" s="1" t="s">
        <v>411</v>
      </c>
      <c r="C365" s="2">
        <v>19.829999999999998</v>
      </c>
      <c r="D365" s="1">
        <v>14</v>
      </c>
      <c r="E365" s="1">
        <v>453</v>
      </c>
      <c r="F365" s="1">
        <v>26</v>
      </c>
      <c r="G365" s="1">
        <v>5</v>
      </c>
      <c r="H365" s="1" t="str">
        <f>IF(Table1[[#This Row],[Order quantities]]&gt;Table1[[#This Row],[Availability]], "High Risk", "Low Risk")</f>
        <v>Low Risk</v>
      </c>
      <c r="I365" s="1">
        <v>8</v>
      </c>
      <c r="J365" s="1" t="s">
        <v>31</v>
      </c>
      <c r="K365" s="4">
        <v>8.0484528780000009</v>
      </c>
      <c r="L365" s="1" t="s">
        <v>24</v>
      </c>
      <c r="M365" s="1" t="s">
        <v>25</v>
      </c>
      <c r="N365" s="1">
        <v>4</v>
      </c>
      <c r="O365" s="1">
        <v>980</v>
      </c>
      <c r="P365" s="1">
        <v>1</v>
      </c>
      <c r="Q365" s="4">
        <v>29.084036439999998</v>
      </c>
      <c r="R365" s="1" t="s">
        <v>26</v>
      </c>
      <c r="S365" s="3">
        <v>0.71466474400000002</v>
      </c>
      <c r="T365" s="1" t="s">
        <v>47</v>
      </c>
      <c r="U365" s="1" t="s">
        <v>53</v>
      </c>
      <c r="V365" s="4">
        <v>520.78946470000005</v>
      </c>
      <c r="W365" s="8">
        <f>Table1[[#This Row],[Revenue]]-Table1[[#This Row],[Shipping costs]]-Table1[[#This Row],[Manufacturing costs]]</f>
        <v>483.65697538200004</v>
      </c>
    </row>
    <row r="366" spans="1:23" ht="14.25" customHeight="1" x14ac:dyDescent="0.25">
      <c r="A366" s="1" t="s">
        <v>29</v>
      </c>
      <c r="B366" s="1" t="s">
        <v>412</v>
      </c>
      <c r="C366" s="2">
        <v>73.02</v>
      </c>
      <c r="D366" s="1">
        <v>33</v>
      </c>
      <c r="E366" s="1">
        <v>923</v>
      </c>
      <c r="F366" s="1">
        <v>25</v>
      </c>
      <c r="G366" s="1">
        <v>60</v>
      </c>
      <c r="H366" s="1" t="str">
        <f>IF(Table1[[#This Row],[Order quantities]]&gt;Table1[[#This Row],[Availability]], "High Risk", "Low Risk")</f>
        <v>High Risk</v>
      </c>
      <c r="I366" s="1">
        <v>2</v>
      </c>
      <c r="J366" s="1" t="s">
        <v>43</v>
      </c>
      <c r="K366" s="4">
        <v>2.102480758</v>
      </c>
      <c r="L366" s="1" t="s">
        <v>44</v>
      </c>
      <c r="M366" s="1" t="s">
        <v>62</v>
      </c>
      <c r="N366" s="1">
        <v>30</v>
      </c>
      <c r="O366" s="1">
        <v>675</v>
      </c>
      <c r="P366" s="1">
        <v>24</v>
      </c>
      <c r="Q366" s="4">
        <v>19.45877952</v>
      </c>
      <c r="R366" s="1" t="s">
        <v>34</v>
      </c>
      <c r="S366" s="3">
        <v>3.9537668680000002</v>
      </c>
      <c r="T366" s="1" t="s">
        <v>47</v>
      </c>
      <c r="U366" s="1" t="s">
        <v>53</v>
      </c>
      <c r="V366" s="4">
        <v>463.79803950000002</v>
      </c>
      <c r="W366" s="8">
        <f>Table1[[#This Row],[Revenue]]-Table1[[#This Row],[Shipping costs]]-Table1[[#This Row],[Manufacturing costs]]</f>
        <v>442.236779222</v>
      </c>
    </row>
    <row r="367" spans="1:23" ht="14.25" customHeight="1" x14ac:dyDescent="0.25">
      <c r="A367" s="1" t="s">
        <v>21</v>
      </c>
      <c r="B367" s="1" t="s">
        <v>413</v>
      </c>
      <c r="C367" s="2">
        <v>67.599999999999994</v>
      </c>
      <c r="D367" s="1">
        <v>60</v>
      </c>
      <c r="E367" s="1">
        <v>628</v>
      </c>
      <c r="F367" s="1">
        <v>10</v>
      </c>
      <c r="G367" s="1">
        <v>46</v>
      </c>
      <c r="H367" s="1" t="str">
        <f>IF(Table1[[#This Row],[Order quantities]]&gt;Table1[[#This Row],[Availability]], "High Risk", "Low Risk")</f>
        <v>Low Risk</v>
      </c>
      <c r="I367" s="1">
        <v>7</v>
      </c>
      <c r="J367" s="1" t="s">
        <v>43</v>
      </c>
      <c r="K367" s="4">
        <v>6.7141599320000003</v>
      </c>
      <c r="L367" s="1" t="s">
        <v>38</v>
      </c>
      <c r="M367" s="1" t="s">
        <v>55</v>
      </c>
      <c r="N367" s="1">
        <v>23</v>
      </c>
      <c r="O367" s="1">
        <v>734</v>
      </c>
      <c r="P367" s="1">
        <v>14</v>
      </c>
      <c r="Q367" s="4">
        <v>71.956116159999993</v>
      </c>
      <c r="R367" s="1" t="s">
        <v>34</v>
      </c>
      <c r="S367" s="3">
        <v>0.18849507700000001</v>
      </c>
      <c r="T367" s="1" t="s">
        <v>47</v>
      </c>
      <c r="U367" s="1" t="s">
        <v>39</v>
      </c>
      <c r="V367" s="4">
        <v>504.53448589999999</v>
      </c>
      <c r="W367" s="8">
        <f>Table1[[#This Row],[Revenue]]-Table1[[#This Row],[Shipping costs]]-Table1[[#This Row],[Manufacturing costs]]</f>
        <v>425.86420980800006</v>
      </c>
    </row>
    <row r="368" spans="1:23" ht="14.25" customHeight="1" x14ac:dyDescent="0.25">
      <c r="A368" s="1" t="s">
        <v>29</v>
      </c>
      <c r="B368" s="1" t="s">
        <v>414</v>
      </c>
      <c r="C368" s="2">
        <v>7.57</v>
      </c>
      <c r="D368" s="1">
        <v>34</v>
      </c>
      <c r="E368" s="1">
        <v>220</v>
      </c>
      <c r="F368" s="1">
        <v>21</v>
      </c>
      <c r="G368" s="1">
        <v>50</v>
      </c>
      <c r="H368" s="1" t="str">
        <f>IF(Table1[[#This Row],[Order quantities]]&gt;Table1[[#This Row],[Availability]], "High Risk", "Low Risk")</f>
        <v>High Risk</v>
      </c>
      <c r="I368" s="1">
        <v>4</v>
      </c>
      <c r="J368" s="1" t="s">
        <v>31</v>
      </c>
      <c r="K368" s="4">
        <v>2.1146142399999999</v>
      </c>
      <c r="L368" s="1" t="s">
        <v>32</v>
      </c>
      <c r="M368" s="1" t="s">
        <v>46</v>
      </c>
      <c r="N368" s="1">
        <v>19</v>
      </c>
      <c r="O368" s="1">
        <v>353</v>
      </c>
      <c r="P368" s="1">
        <v>4</v>
      </c>
      <c r="Q368" s="4">
        <v>24.26071962</v>
      </c>
      <c r="R368" s="1" t="s">
        <v>51</v>
      </c>
      <c r="S368" s="3">
        <v>2.4653690990000001</v>
      </c>
      <c r="T368" s="1" t="s">
        <v>35</v>
      </c>
      <c r="U368" s="1" t="s">
        <v>39</v>
      </c>
      <c r="V368" s="4">
        <v>974.73209559999998</v>
      </c>
      <c r="W368" s="8">
        <f>Table1[[#This Row],[Revenue]]-Table1[[#This Row],[Shipping costs]]-Table1[[#This Row],[Manufacturing costs]]</f>
        <v>948.35676173999991</v>
      </c>
    </row>
    <row r="369" spans="1:23" ht="14.25" customHeight="1" x14ac:dyDescent="0.25">
      <c r="A369" s="1" t="s">
        <v>21</v>
      </c>
      <c r="B369" s="1" t="s">
        <v>415</v>
      </c>
      <c r="C369" s="2">
        <v>26.09</v>
      </c>
      <c r="D369" s="1">
        <v>63</v>
      </c>
      <c r="E369" s="1">
        <v>153</v>
      </c>
      <c r="F369" s="1">
        <v>15</v>
      </c>
      <c r="G369" s="1">
        <v>48</v>
      </c>
      <c r="H369" s="1" t="str">
        <f>IF(Table1[[#This Row],[Order quantities]]&gt;Table1[[#This Row],[Availability]], "High Risk", "Low Risk")</f>
        <v>Low Risk</v>
      </c>
      <c r="I369" s="1">
        <v>9</v>
      </c>
      <c r="J369" s="1" t="s">
        <v>23</v>
      </c>
      <c r="K369" s="4">
        <v>1.6348207379999999</v>
      </c>
      <c r="L369" s="1" t="s">
        <v>38</v>
      </c>
      <c r="M369" s="1" t="s">
        <v>55</v>
      </c>
      <c r="N369" s="1">
        <v>12</v>
      </c>
      <c r="O369" s="1">
        <v>576</v>
      </c>
      <c r="P369" s="1">
        <v>5</v>
      </c>
      <c r="Q369" s="4">
        <v>80.890915629999995</v>
      </c>
      <c r="R369" s="1" t="s">
        <v>26</v>
      </c>
      <c r="S369" s="3">
        <v>1.721979672</v>
      </c>
      <c r="T369" s="1" t="s">
        <v>47</v>
      </c>
      <c r="U369" s="1" t="s">
        <v>28</v>
      </c>
      <c r="V369" s="4">
        <v>865.24065489999998</v>
      </c>
      <c r="W369" s="8">
        <f>Table1[[#This Row],[Revenue]]-Table1[[#This Row],[Shipping costs]]-Table1[[#This Row],[Manufacturing costs]]</f>
        <v>782.71491853199996</v>
      </c>
    </row>
    <row r="370" spans="1:23" ht="14.25" customHeight="1" x14ac:dyDescent="0.25">
      <c r="A370" s="1" t="s">
        <v>21</v>
      </c>
      <c r="B370" s="1" t="s">
        <v>416</v>
      </c>
      <c r="C370" s="2">
        <v>26.95</v>
      </c>
      <c r="D370" s="1">
        <v>24</v>
      </c>
      <c r="E370" s="1">
        <v>664</v>
      </c>
      <c r="F370" s="1">
        <v>27</v>
      </c>
      <c r="G370" s="1">
        <v>6</v>
      </c>
      <c r="H370" s="1" t="str">
        <f>IF(Table1[[#This Row],[Order quantities]]&gt;Table1[[#This Row],[Availability]], "High Risk", "Low Risk")</f>
        <v>Low Risk</v>
      </c>
      <c r="I370" s="1">
        <v>1</v>
      </c>
      <c r="J370" s="1" t="s">
        <v>23</v>
      </c>
      <c r="K370" s="4">
        <v>9.184865533</v>
      </c>
      <c r="L370" s="1" t="s">
        <v>24</v>
      </c>
      <c r="M370" s="1" t="s">
        <v>46</v>
      </c>
      <c r="N370" s="1">
        <v>15</v>
      </c>
      <c r="O370" s="1">
        <v>213</v>
      </c>
      <c r="P370" s="1">
        <v>11</v>
      </c>
      <c r="Q370" s="4">
        <v>37.993300050000002</v>
      </c>
      <c r="R370" s="1" t="s">
        <v>51</v>
      </c>
      <c r="S370" s="3">
        <v>3.7274849940000001</v>
      </c>
      <c r="T370" s="1" t="s">
        <v>35</v>
      </c>
      <c r="U370" s="1" t="s">
        <v>28</v>
      </c>
      <c r="V370" s="4">
        <v>735.7318947</v>
      </c>
      <c r="W370" s="8">
        <f>Table1[[#This Row],[Revenue]]-Table1[[#This Row],[Shipping costs]]-Table1[[#This Row],[Manufacturing costs]]</f>
        <v>688.55372911699999</v>
      </c>
    </row>
    <row r="371" spans="1:23" ht="14.25" customHeight="1" x14ac:dyDescent="0.25">
      <c r="A371" s="1" t="s">
        <v>29</v>
      </c>
      <c r="B371" s="1" t="s">
        <v>417</v>
      </c>
      <c r="C371" s="2">
        <v>68.83</v>
      </c>
      <c r="D371" s="1">
        <v>23</v>
      </c>
      <c r="E371" s="1">
        <v>11</v>
      </c>
      <c r="F371" s="1">
        <v>22</v>
      </c>
      <c r="G371" s="1">
        <v>89</v>
      </c>
      <c r="H371" s="1" t="str">
        <f>IF(Table1[[#This Row],[Order quantities]]&gt;Table1[[#This Row],[Availability]], "High Risk", "Low Risk")</f>
        <v>High Risk</v>
      </c>
      <c r="I371" s="1">
        <v>7</v>
      </c>
      <c r="J371" s="1" t="s">
        <v>43</v>
      </c>
      <c r="K371" s="4">
        <v>2.7111588969999998</v>
      </c>
      <c r="L371" s="1" t="s">
        <v>32</v>
      </c>
      <c r="M371" s="1" t="s">
        <v>62</v>
      </c>
      <c r="N371" s="1">
        <v>11</v>
      </c>
      <c r="O371" s="1">
        <v>119</v>
      </c>
      <c r="P371" s="1">
        <v>24</v>
      </c>
      <c r="Q371" s="4">
        <v>39.420393679999997</v>
      </c>
      <c r="R371" s="1" t="s">
        <v>26</v>
      </c>
      <c r="S371" s="3">
        <v>1.6325275640000001</v>
      </c>
      <c r="T371" s="1" t="s">
        <v>35</v>
      </c>
      <c r="U371" s="1" t="s">
        <v>28</v>
      </c>
      <c r="V371" s="4">
        <v>361.43106330000001</v>
      </c>
      <c r="W371" s="8">
        <f>Table1[[#This Row],[Revenue]]-Table1[[#This Row],[Shipping costs]]-Table1[[#This Row],[Manufacturing costs]]</f>
        <v>319.29951072299997</v>
      </c>
    </row>
    <row r="372" spans="1:23" ht="14.25" customHeight="1" x14ac:dyDescent="0.25">
      <c r="A372" s="1" t="s">
        <v>29</v>
      </c>
      <c r="B372" s="1" t="s">
        <v>418</v>
      </c>
      <c r="C372" s="2">
        <v>6.87</v>
      </c>
      <c r="D372" s="1">
        <v>11</v>
      </c>
      <c r="E372" s="1">
        <v>132</v>
      </c>
      <c r="F372" s="1">
        <v>19</v>
      </c>
      <c r="G372" s="1">
        <v>56</v>
      </c>
      <c r="H372" s="1" t="str">
        <f>IF(Table1[[#This Row],[Order quantities]]&gt;Table1[[#This Row],[Availability]], "High Risk", "Low Risk")</f>
        <v>High Risk</v>
      </c>
      <c r="I372" s="1">
        <v>6</v>
      </c>
      <c r="J372" s="1" t="s">
        <v>23</v>
      </c>
      <c r="K372" s="4">
        <v>8.3912513910000008</v>
      </c>
      <c r="L372" s="1" t="s">
        <v>44</v>
      </c>
      <c r="M372" s="1" t="s">
        <v>46</v>
      </c>
      <c r="N372" s="1">
        <v>5</v>
      </c>
      <c r="O372" s="1">
        <v>627</v>
      </c>
      <c r="P372" s="1">
        <v>28</v>
      </c>
      <c r="Q372" s="4">
        <v>10.97185532</v>
      </c>
      <c r="R372" s="1" t="s">
        <v>34</v>
      </c>
      <c r="S372" s="3">
        <v>4.151354853</v>
      </c>
      <c r="T372" s="1" t="s">
        <v>47</v>
      </c>
      <c r="U372" s="1" t="s">
        <v>28</v>
      </c>
      <c r="V372" s="4">
        <v>248.65569959999999</v>
      </c>
      <c r="W372" s="8">
        <f>Table1[[#This Row],[Revenue]]-Table1[[#This Row],[Shipping costs]]-Table1[[#This Row],[Manufacturing costs]]</f>
        <v>229.29259288899999</v>
      </c>
    </row>
    <row r="373" spans="1:23" ht="14.25" customHeight="1" x14ac:dyDescent="0.25">
      <c r="A373" s="1" t="s">
        <v>29</v>
      </c>
      <c r="B373" s="1" t="s">
        <v>419</v>
      </c>
      <c r="C373" s="2">
        <v>14.89</v>
      </c>
      <c r="D373" s="1">
        <v>17</v>
      </c>
      <c r="E373" s="1">
        <v>993</v>
      </c>
      <c r="F373" s="1">
        <v>16</v>
      </c>
      <c r="G373" s="1">
        <v>59</v>
      </c>
      <c r="H373" s="1" t="str">
        <f>IF(Table1[[#This Row],[Order quantities]]&gt;Table1[[#This Row],[Availability]], "High Risk", "Low Risk")</f>
        <v>High Risk</v>
      </c>
      <c r="I373" s="1">
        <v>8</v>
      </c>
      <c r="J373" s="1" t="s">
        <v>31</v>
      </c>
      <c r="K373" s="4">
        <v>5.9016778399999996</v>
      </c>
      <c r="L373" s="1" t="s">
        <v>44</v>
      </c>
      <c r="M373" s="1" t="s">
        <v>55</v>
      </c>
      <c r="N373" s="1">
        <v>5</v>
      </c>
      <c r="O373" s="1">
        <v>244</v>
      </c>
      <c r="P373" s="1">
        <v>23</v>
      </c>
      <c r="Q373" s="4">
        <v>73.091014040000005</v>
      </c>
      <c r="R373" s="1" t="s">
        <v>34</v>
      </c>
      <c r="S373" s="3">
        <v>3.0152720949999998</v>
      </c>
      <c r="T373" s="1" t="s">
        <v>47</v>
      </c>
      <c r="U373" s="1" t="s">
        <v>28</v>
      </c>
      <c r="V373" s="4">
        <v>929.29026610000005</v>
      </c>
      <c r="W373" s="8">
        <f>Table1[[#This Row],[Revenue]]-Table1[[#This Row],[Shipping costs]]-Table1[[#This Row],[Manufacturing costs]]</f>
        <v>850.29757422</v>
      </c>
    </row>
    <row r="374" spans="1:23" ht="14.25" customHeight="1" x14ac:dyDescent="0.25">
      <c r="A374" s="1" t="s">
        <v>29</v>
      </c>
      <c r="B374" s="1" t="s">
        <v>420</v>
      </c>
      <c r="C374" s="2">
        <v>80.989999999999995</v>
      </c>
      <c r="D374" s="1">
        <v>14</v>
      </c>
      <c r="E374" s="1">
        <v>303</v>
      </c>
      <c r="F374" s="1">
        <v>21</v>
      </c>
      <c r="G374" s="1">
        <v>29</v>
      </c>
      <c r="H374" s="1" t="str">
        <f>IF(Table1[[#This Row],[Order quantities]]&gt;Table1[[#This Row],[Availability]], "High Risk", "Low Risk")</f>
        <v>High Risk</v>
      </c>
      <c r="I374" s="1">
        <v>5</v>
      </c>
      <c r="J374" s="1" t="s">
        <v>43</v>
      </c>
      <c r="K374" s="4">
        <v>1.7007086760000001</v>
      </c>
      <c r="L374" s="1" t="s">
        <v>44</v>
      </c>
      <c r="M374" s="1" t="s">
        <v>46</v>
      </c>
      <c r="N374" s="1">
        <v>15</v>
      </c>
      <c r="O374" s="1">
        <v>307</v>
      </c>
      <c r="P374" s="1">
        <v>13</v>
      </c>
      <c r="Q374" s="4">
        <v>20.19427778</v>
      </c>
      <c r="R374" s="1" t="s">
        <v>26</v>
      </c>
      <c r="S374" s="3">
        <v>3.9900774729999999</v>
      </c>
      <c r="T374" s="1" t="s">
        <v>27</v>
      </c>
      <c r="U374" s="1" t="s">
        <v>39</v>
      </c>
      <c r="V374" s="4">
        <v>480.76797049999999</v>
      </c>
      <c r="W374" s="8">
        <f>Table1[[#This Row],[Revenue]]-Table1[[#This Row],[Shipping costs]]-Table1[[#This Row],[Manufacturing costs]]</f>
        <v>458.87298404400002</v>
      </c>
    </row>
    <row r="375" spans="1:23" ht="14.25" customHeight="1" x14ac:dyDescent="0.25">
      <c r="A375" s="1" t="s">
        <v>29</v>
      </c>
      <c r="B375" s="1" t="s">
        <v>421</v>
      </c>
      <c r="C375" s="2">
        <v>21.96</v>
      </c>
      <c r="D375" s="1">
        <v>79</v>
      </c>
      <c r="E375" s="1">
        <v>292</v>
      </c>
      <c r="F375" s="1">
        <v>27</v>
      </c>
      <c r="G375" s="1">
        <v>71</v>
      </c>
      <c r="H375" s="1" t="str">
        <f>IF(Table1[[#This Row],[Order quantities]]&gt;Table1[[#This Row],[Availability]], "High Risk", "Low Risk")</f>
        <v>Low Risk</v>
      </c>
      <c r="I375" s="1">
        <v>1</v>
      </c>
      <c r="J375" s="1" t="s">
        <v>43</v>
      </c>
      <c r="K375" s="4">
        <v>9.5990337229999998</v>
      </c>
      <c r="L375" s="1" t="s">
        <v>44</v>
      </c>
      <c r="M375" s="1" t="s">
        <v>25</v>
      </c>
      <c r="N375" s="1">
        <v>29</v>
      </c>
      <c r="O375" s="1">
        <v>630</v>
      </c>
      <c r="P375" s="1">
        <v>16</v>
      </c>
      <c r="Q375" s="4">
        <v>79.559251970000005</v>
      </c>
      <c r="R375" s="1" t="s">
        <v>34</v>
      </c>
      <c r="S375" s="3">
        <v>4.9477691249999998</v>
      </c>
      <c r="T375" s="1" t="s">
        <v>35</v>
      </c>
      <c r="U375" s="1" t="s">
        <v>28</v>
      </c>
      <c r="V375" s="4">
        <v>350.88021950000001</v>
      </c>
      <c r="W375" s="8">
        <f>Table1[[#This Row],[Revenue]]-Table1[[#This Row],[Shipping costs]]-Table1[[#This Row],[Manufacturing costs]]</f>
        <v>261.72193380700003</v>
      </c>
    </row>
    <row r="376" spans="1:23" ht="14.25" customHeight="1" x14ac:dyDescent="0.25">
      <c r="A376" s="1" t="s">
        <v>21</v>
      </c>
      <c r="B376" s="1" t="s">
        <v>422</v>
      </c>
      <c r="C376" s="2">
        <v>67.010000000000005</v>
      </c>
      <c r="D376" s="1">
        <v>26</v>
      </c>
      <c r="E376" s="1">
        <v>974</v>
      </c>
      <c r="F376" s="1">
        <v>24</v>
      </c>
      <c r="G376" s="1">
        <v>77</v>
      </c>
      <c r="H376" s="1" t="str">
        <f>IF(Table1[[#This Row],[Order quantities]]&gt;Table1[[#This Row],[Availability]], "High Risk", "Low Risk")</f>
        <v>High Risk</v>
      </c>
      <c r="I376" s="1">
        <v>1</v>
      </c>
      <c r="J376" s="1" t="s">
        <v>23</v>
      </c>
      <c r="K376" s="4">
        <v>3.2226505030000001</v>
      </c>
      <c r="L376" s="1" t="s">
        <v>32</v>
      </c>
      <c r="M376" s="1" t="s">
        <v>49</v>
      </c>
      <c r="N376" s="1">
        <v>18</v>
      </c>
      <c r="O376" s="1">
        <v>475</v>
      </c>
      <c r="P376" s="1">
        <v>24</v>
      </c>
      <c r="Q376" s="4">
        <v>54.268103969999999</v>
      </c>
      <c r="R376" s="1" t="s">
        <v>26</v>
      </c>
      <c r="S376" s="3">
        <v>3.427875894</v>
      </c>
      <c r="T376" s="1" t="s">
        <v>47</v>
      </c>
      <c r="U376" s="1" t="s">
        <v>28</v>
      </c>
      <c r="V376" s="4">
        <v>523.82874379999998</v>
      </c>
      <c r="W376" s="8">
        <f>Table1[[#This Row],[Revenue]]-Table1[[#This Row],[Shipping costs]]-Table1[[#This Row],[Manufacturing costs]]</f>
        <v>466.33798932700006</v>
      </c>
    </row>
    <row r="377" spans="1:23" ht="14.25" customHeight="1" x14ac:dyDescent="0.25">
      <c r="A377" s="1" t="s">
        <v>21</v>
      </c>
      <c r="B377" s="1" t="s">
        <v>423</v>
      </c>
      <c r="C377" s="2">
        <v>27.63</v>
      </c>
      <c r="D377" s="1">
        <v>71</v>
      </c>
      <c r="E377" s="1">
        <v>299</v>
      </c>
      <c r="F377" s="1">
        <v>22</v>
      </c>
      <c r="G377" s="1">
        <v>18</v>
      </c>
      <c r="H377" s="1" t="str">
        <f>IF(Table1[[#This Row],[Order quantities]]&gt;Table1[[#This Row],[Availability]], "High Risk", "Low Risk")</f>
        <v>Low Risk</v>
      </c>
      <c r="I377" s="1">
        <v>9</v>
      </c>
      <c r="J377" s="1" t="s">
        <v>23</v>
      </c>
      <c r="K377" s="4">
        <v>8.736808108</v>
      </c>
      <c r="L377" s="1" t="s">
        <v>32</v>
      </c>
      <c r="M377" s="1" t="s">
        <v>33</v>
      </c>
      <c r="N377" s="1">
        <v>11</v>
      </c>
      <c r="O377" s="1">
        <v>603</v>
      </c>
      <c r="P377" s="1">
        <v>13</v>
      </c>
      <c r="Q377" s="4">
        <v>80.585183349999994</v>
      </c>
      <c r="R377" s="1" t="s">
        <v>34</v>
      </c>
      <c r="S377" s="3">
        <v>4.9262565499999997</v>
      </c>
      <c r="T377" s="1" t="s">
        <v>35</v>
      </c>
      <c r="U377" s="1" t="s">
        <v>53</v>
      </c>
      <c r="V377" s="4">
        <v>926.06268050000006</v>
      </c>
      <c r="W377" s="8">
        <f>Table1[[#This Row],[Revenue]]-Table1[[#This Row],[Shipping costs]]-Table1[[#This Row],[Manufacturing costs]]</f>
        <v>836.7406890420001</v>
      </c>
    </row>
    <row r="378" spans="1:23" ht="14.25" customHeight="1" x14ac:dyDescent="0.25">
      <c r="A378" s="1" t="s">
        <v>29</v>
      </c>
      <c r="B378" s="1" t="s">
        <v>424</v>
      </c>
      <c r="C378" s="2">
        <v>14.45</v>
      </c>
      <c r="D378" s="1">
        <v>59</v>
      </c>
      <c r="E378" s="1">
        <v>739</v>
      </c>
      <c r="F378" s="1">
        <v>4</v>
      </c>
      <c r="G378" s="1">
        <v>2</v>
      </c>
      <c r="H378" s="1" t="str">
        <f>IF(Table1[[#This Row],[Order quantities]]&gt;Table1[[#This Row],[Availability]], "High Risk", "Low Risk")</f>
        <v>Low Risk</v>
      </c>
      <c r="I378" s="1">
        <v>6</v>
      </c>
      <c r="J378" s="1" t="s">
        <v>31</v>
      </c>
      <c r="K378" s="4">
        <v>2.5192900520000001</v>
      </c>
      <c r="L378" s="1" t="s">
        <v>41</v>
      </c>
      <c r="M378" s="1" t="s">
        <v>55</v>
      </c>
      <c r="N378" s="1">
        <v>26</v>
      </c>
      <c r="O378" s="1">
        <v>265</v>
      </c>
      <c r="P378" s="1">
        <v>24</v>
      </c>
      <c r="Q378" s="4">
        <v>62.553388529999999</v>
      </c>
      <c r="R378" s="1" t="s">
        <v>51</v>
      </c>
      <c r="S378" s="3">
        <v>0.24129800200000001</v>
      </c>
      <c r="T378" s="1" t="s">
        <v>47</v>
      </c>
      <c r="U378" s="1" t="s">
        <v>53</v>
      </c>
      <c r="V378" s="4">
        <v>448.36058209999999</v>
      </c>
      <c r="W378" s="8">
        <f>Table1[[#This Row],[Revenue]]-Table1[[#This Row],[Shipping costs]]-Table1[[#This Row],[Manufacturing costs]]</f>
        <v>383.28790351800001</v>
      </c>
    </row>
    <row r="379" spans="1:23" ht="14.25" customHeight="1" x14ac:dyDescent="0.25">
      <c r="A379" s="1" t="s">
        <v>29</v>
      </c>
      <c r="B379" s="1" t="s">
        <v>425</v>
      </c>
      <c r="C379" s="2">
        <v>28.1</v>
      </c>
      <c r="D379" s="1">
        <v>45</v>
      </c>
      <c r="E379" s="1">
        <v>782</v>
      </c>
      <c r="F379" s="1">
        <v>2</v>
      </c>
      <c r="G379" s="1">
        <v>8</v>
      </c>
      <c r="H379" s="1" t="str">
        <f>IF(Table1[[#This Row],[Order quantities]]&gt;Table1[[#This Row],[Availability]], "High Risk", "Low Risk")</f>
        <v>Low Risk</v>
      </c>
      <c r="I379" s="1">
        <v>5</v>
      </c>
      <c r="J379" s="1" t="s">
        <v>23</v>
      </c>
      <c r="K379" s="4">
        <v>8.6854859389999994</v>
      </c>
      <c r="L379" s="1" t="s">
        <v>24</v>
      </c>
      <c r="M379" s="1" t="s">
        <v>25</v>
      </c>
      <c r="N379" s="1">
        <v>12</v>
      </c>
      <c r="O379" s="1">
        <v>649</v>
      </c>
      <c r="P379" s="1">
        <v>22</v>
      </c>
      <c r="Q379" s="4">
        <v>17.418994479999999</v>
      </c>
      <c r="R379" s="1" t="s">
        <v>34</v>
      </c>
      <c r="S379" s="3">
        <v>1.756885944</v>
      </c>
      <c r="T379" s="1" t="s">
        <v>35</v>
      </c>
      <c r="U379" s="1" t="s">
        <v>53</v>
      </c>
      <c r="V379" s="4">
        <v>606.37689750000004</v>
      </c>
      <c r="W379" s="8">
        <f>Table1[[#This Row],[Revenue]]-Table1[[#This Row],[Shipping costs]]-Table1[[#This Row],[Manufacturing costs]]</f>
        <v>580.27241708099996</v>
      </c>
    </row>
    <row r="380" spans="1:23" ht="14.25" customHeight="1" x14ac:dyDescent="0.25">
      <c r="A380" s="1" t="s">
        <v>114</v>
      </c>
      <c r="B380" s="1" t="s">
        <v>426</v>
      </c>
      <c r="C380" s="2">
        <v>73.62</v>
      </c>
      <c r="D380" s="1">
        <v>88</v>
      </c>
      <c r="E380" s="1">
        <v>42</v>
      </c>
      <c r="F380" s="1">
        <v>30</v>
      </c>
      <c r="G380" s="1">
        <v>75</v>
      </c>
      <c r="H380" s="1" t="str">
        <f>IF(Table1[[#This Row],[Order quantities]]&gt;Table1[[#This Row],[Availability]], "High Risk", "Low Risk")</f>
        <v>Low Risk</v>
      </c>
      <c r="I380" s="1">
        <v>1</v>
      </c>
      <c r="J380" s="1" t="s">
        <v>31</v>
      </c>
      <c r="K380" s="4">
        <v>1.119059316</v>
      </c>
      <c r="L380" s="1" t="s">
        <v>32</v>
      </c>
      <c r="M380" s="1" t="s">
        <v>62</v>
      </c>
      <c r="N380" s="1">
        <v>2</v>
      </c>
      <c r="O380" s="1">
        <v>280</v>
      </c>
      <c r="P380" s="1">
        <v>26</v>
      </c>
      <c r="Q380" s="4">
        <v>78.908710299999996</v>
      </c>
      <c r="R380" s="1" t="s">
        <v>51</v>
      </c>
      <c r="S380" s="3">
        <v>0.62848099599999996</v>
      </c>
      <c r="T380" s="1" t="s">
        <v>35</v>
      </c>
      <c r="U380" s="1" t="s">
        <v>53</v>
      </c>
      <c r="V380" s="4">
        <v>822.66967099999999</v>
      </c>
      <c r="W380" s="8">
        <f>Table1[[#This Row],[Revenue]]-Table1[[#This Row],[Shipping costs]]-Table1[[#This Row],[Manufacturing costs]]</f>
        <v>742.64190138399999</v>
      </c>
    </row>
    <row r="381" spans="1:23" ht="14.25" customHeight="1" x14ac:dyDescent="0.25">
      <c r="A381" s="1" t="s">
        <v>21</v>
      </c>
      <c r="B381" s="1" t="s">
        <v>427</v>
      </c>
      <c r="C381" s="2">
        <v>86.29</v>
      </c>
      <c r="D381" s="1">
        <v>16</v>
      </c>
      <c r="E381" s="1">
        <v>943</v>
      </c>
      <c r="F381" s="1">
        <v>25</v>
      </c>
      <c r="G381" s="1">
        <v>97</v>
      </c>
      <c r="H381" s="1" t="str">
        <f>IF(Table1[[#This Row],[Order quantities]]&gt;Table1[[#This Row],[Availability]], "High Risk", "Low Risk")</f>
        <v>High Risk</v>
      </c>
      <c r="I381" s="1">
        <v>6</v>
      </c>
      <c r="J381" s="1" t="s">
        <v>23</v>
      </c>
      <c r="K381" s="4">
        <v>5.6060241089999998</v>
      </c>
      <c r="L381" s="1" t="s">
        <v>32</v>
      </c>
      <c r="M381" s="1" t="s">
        <v>46</v>
      </c>
      <c r="N381" s="1">
        <v>20</v>
      </c>
      <c r="O381" s="1">
        <v>960</v>
      </c>
      <c r="P381" s="1">
        <v>2</v>
      </c>
      <c r="Q381" s="4">
        <v>16.281953640000001</v>
      </c>
      <c r="R381" s="1" t="s">
        <v>26</v>
      </c>
      <c r="S381" s="3">
        <v>1.3852941640000001</v>
      </c>
      <c r="T381" s="1" t="s">
        <v>47</v>
      </c>
      <c r="U381" s="1" t="s">
        <v>28</v>
      </c>
      <c r="V381" s="4">
        <v>484.4192779</v>
      </c>
      <c r="W381" s="8">
        <f>Table1[[#This Row],[Revenue]]-Table1[[#This Row],[Shipping costs]]-Table1[[#This Row],[Manufacturing costs]]</f>
        <v>462.53130015100004</v>
      </c>
    </row>
    <row r="382" spans="1:23" ht="14.25" customHeight="1" x14ac:dyDescent="0.25">
      <c r="A382" s="1" t="s">
        <v>21</v>
      </c>
      <c r="B382" s="1" t="s">
        <v>428</v>
      </c>
      <c r="C382" s="2">
        <v>83.87</v>
      </c>
      <c r="D382" s="1">
        <v>92</v>
      </c>
      <c r="E382" s="1">
        <v>342</v>
      </c>
      <c r="F382" s="1">
        <v>13</v>
      </c>
      <c r="G382" s="1">
        <v>54</v>
      </c>
      <c r="H382" s="1" t="str">
        <f>IF(Table1[[#This Row],[Order quantities]]&gt;Table1[[#This Row],[Availability]], "High Risk", "Low Risk")</f>
        <v>Low Risk</v>
      </c>
      <c r="I382" s="1">
        <v>6</v>
      </c>
      <c r="J382" s="1" t="s">
        <v>37</v>
      </c>
      <c r="K382" s="4">
        <v>7.9249832150000001</v>
      </c>
      <c r="L382" s="1" t="s">
        <v>44</v>
      </c>
      <c r="M382" s="1" t="s">
        <v>55</v>
      </c>
      <c r="N382" s="1">
        <v>15</v>
      </c>
      <c r="O382" s="1">
        <v>716</v>
      </c>
      <c r="P382" s="1">
        <v>16</v>
      </c>
      <c r="Q382" s="4">
        <v>53.08315485</v>
      </c>
      <c r="R382" s="1" t="s">
        <v>51</v>
      </c>
      <c r="S382" s="3">
        <v>4.2105507060000003</v>
      </c>
      <c r="T382" s="1" t="s">
        <v>27</v>
      </c>
      <c r="U382" s="1" t="s">
        <v>53</v>
      </c>
      <c r="V382" s="4">
        <v>310.18762170000002</v>
      </c>
      <c r="W382" s="8">
        <f>Table1[[#This Row],[Revenue]]-Table1[[#This Row],[Shipping costs]]-Table1[[#This Row],[Manufacturing costs]]</f>
        <v>249.17948363500003</v>
      </c>
    </row>
    <row r="383" spans="1:23" ht="14.25" customHeight="1" x14ac:dyDescent="0.25">
      <c r="A383" s="1" t="s">
        <v>29</v>
      </c>
      <c r="B383" s="1" t="s">
        <v>429</v>
      </c>
      <c r="C383" s="2">
        <v>42.73</v>
      </c>
      <c r="D383" s="1">
        <v>52</v>
      </c>
      <c r="E383" s="1">
        <v>325</v>
      </c>
      <c r="F383" s="1">
        <v>28</v>
      </c>
      <c r="G383" s="1">
        <v>38</v>
      </c>
      <c r="H383" s="1" t="str">
        <f>IF(Table1[[#This Row],[Order quantities]]&gt;Table1[[#This Row],[Availability]], "High Risk", "Low Risk")</f>
        <v>Low Risk</v>
      </c>
      <c r="I383" s="1">
        <v>3</v>
      </c>
      <c r="J383" s="1" t="s">
        <v>31</v>
      </c>
      <c r="K383" s="4">
        <v>9.4131596569999996</v>
      </c>
      <c r="L383" s="1" t="s">
        <v>44</v>
      </c>
      <c r="M383" s="1" t="s">
        <v>55</v>
      </c>
      <c r="N383" s="1">
        <v>20</v>
      </c>
      <c r="O383" s="1">
        <v>711</v>
      </c>
      <c r="P383" s="1">
        <v>6</v>
      </c>
      <c r="Q383" s="4">
        <v>25.511429270000001</v>
      </c>
      <c r="R383" s="1" t="s">
        <v>26</v>
      </c>
      <c r="S383" s="3">
        <v>0.258384</v>
      </c>
      <c r="T383" s="1" t="s">
        <v>47</v>
      </c>
      <c r="U383" s="1" t="s">
        <v>53</v>
      </c>
      <c r="V383" s="4">
        <v>995.07317350000005</v>
      </c>
      <c r="W383" s="8">
        <f>Table1[[#This Row],[Revenue]]-Table1[[#This Row],[Shipping costs]]-Table1[[#This Row],[Manufacturing costs]]</f>
        <v>960.14858457299999</v>
      </c>
    </row>
    <row r="384" spans="1:23" ht="14.25" customHeight="1" x14ac:dyDescent="0.25">
      <c r="A384" s="1" t="s">
        <v>21</v>
      </c>
      <c r="B384" s="1" t="s">
        <v>430</v>
      </c>
      <c r="C384" s="2">
        <v>68.47</v>
      </c>
      <c r="D384" s="1">
        <v>7</v>
      </c>
      <c r="E384" s="1">
        <v>813</v>
      </c>
      <c r="F384" s="1">
        <v>1</v>
      </c>
      <c r="G384" s="1">
        <v>48</v>
      </c>
      <c r="H384" s="1" t="str">
        <f>IF(Table1[[#This Row],[Order quantities]]&gt;Table1[[#This Row],[Availability]], "High Risk", "Low Risk")</f>
        <v>High Risk</v>
      </c>
      <c r="I384" s="1">
        <v>8</v>
      </c>
      <c r="J384" s="1" t="s">
        <v>23</v>
      </c>
      <c r="K384" s="4">
        <v>9.1828192259999994</v>
      </c>
      <c r="L384" s="1" t="s">
        <v>41</v>
      </c>
      <c r="M384" s="1" t="s">
        <v>55</v>
      </c>
      <c r="N384" s="1">
        <v>4</v>
      </c>
      <c r="O384" s="1">
        <v>701</v>
      </c>
      <c r="P384" s="1">
        <v>14</v>
      </c>
      <c r="Q384" s="4">
        <v>77.710166020000003</v>
      </c>
      <c r="R384" s="1" t="s">
        <v>51</v>
      </c>
      <c r="S384" s="3">
        <v>2.648896385</v>
      </c>
      <c r="T384" s="1" t="s">
        <v>47</v>
      </c>
      <c r="U384" s="1" t="s">
        <v>39</v>
      </c>
      <c r="V384" s="4">
        <v>960.91377169999998</v>
      </c>
      <c r="W384" s="8">
        <f>Table1[[#This Row],[Revenue]]-Table1[[#This Row],[Shipping costs]]-Table1[[#This Row],[Manufacturing costs]]</f>
        <v>874.02078645400002</v>
      </c>
    </row>
    <row r="385" spans="1:23" ht="14.25" customHeight="1" x14ac:dyDescent="0.25">
      <c r="A385" s="1" t="s">
        <v>29</v>
      </c>
      <c r="B385" s="1" t="s">
        <v>431</v>
      </c>
      <c r="C385" s="2">
        <v>24.47</v>
      </c>
      <c r="D385" s="1">
        <v>78</v>
      </c>
      <c r="E385" s="1">
        <v>497</v>
      </c>
      <c r="F385" s="1">
        <v>17</v>
      </c>
      <c r="G385" s="1">
        <v>27</v>
      </c>
      <c r="H385" s="1" t="str">
        <f>IF(Table1[[#This Row],[Order quantities]]&gt;Table1[[#This Row],[Availability]], "High Risk", "Low Risk")</f>
        <v>Low Risk</v>
      </c>
      <c r="I385" s="1">
        <v>1</v>
      </c>
      <c r="J385" s="1" t="s">
        <v>31</v>
      </c>
      <c r="K385" s="4">
        <v>8.3766238259999994</v>
      </c>
      <c r="L385" s="1" t="s">
        <v>32</v>
      </c>
      <c r="M385" s="1" t="s">
        <v>33</v>
      </c>
      <c r="N385" s="1">
        <v>22</v>
      </c>
      <c r="O385" s="1">
        <v>911</v>
      </c>
      <c r="P385" s="1">
        <v>1</v>
      </c>
      <c r="Q385" s="4">
        <v>92.043210500000001</v>
      </c>
      <c r="R385" s="1" t="s">
        <v>26</v>
      </c>
      <c r="S385" s="3">
        <v>2.8789306670000001</v>
      </c>
      <c r="T385" s="1" t="s">
        <v>27</v>
      </c>
      <c r="U385" s="1" t="s">
        <v>28</v>
      </c>
      <c r="V385" s="4">
        <v>859.13125219999995</v>
      </c>
      <c r="W385" s="8">
        <f>Table1[[#This Row],[Revenue]]-Table1[[#This Row],[Shipping costs]]-Table1[[#This Row],[Manufacturing costs]]</f>
        <v>758.71141787399995</v>
      </c>
    </row>
    <row r="386" spans="1:23" ht="14.25" customHeight="1" x14ac:dyDescent="0.25">
      <c r="A386" s="1" t="s">
        <v>29</v>
      </c>
      <c r="B386" s="1" t="s">
        <v>432</v>
      </c>
      <c r="C386" s="2">
        <v>32.85</v>
      </c>
      <c r="D386" s="1">
        <v>26</v>
      </c>
      <c r="E386" s="1">
        <v>363</v>
      </c>
      <c r="F386" s="1">
        <v>13</v>
      </c>
      <c r="G386" s="1">
        <v>20</v>
      </c>
      <c r="H386" s="1" t="str">
        <f>IF(Table1[[#This Row],[Order quantities]]&gt;Table1[[#This Row],[Availability]], "High Risk", "Low Risk")</f>
        <v>Low Risk</v>
      </c>
      <c r="I386" s="1">
        <v>1</v>
      </c>
      <c r="J386" s="1" t="s">
        <v>43</v>
      </c>
      <c r="K386" s="4">
        <v>8.9937221469999997</v>
      </c>
      <c r="L386" s="1" t="s">
        <v>38</v>
      </c>
      <c r="M386" s="1" t="s">
        <v>62</v>
      </c>
      <c r="N386" s="1">
        <v>18</v>
      </c>
      <c r="O386" s="1">
        <v>543</v>
      </c>
      <c r="P386" s="1">
        <v>17</v>
      </c>
      <c r="Q386" s="4">
        <v>59.871354699999998</v>
      </c>
      <c r="R386" s="1" t="s">
        <v>51</v>
      </c>
      <c r="S386" s="3">
        <v>2.8496406190000001</v>
      </c>
      <c r="T386" s="1" t="s">
        <v>35</v>
      </c>
      <c r="U386" s="1" t="s">
        <v>53</v>
      </c>
      <c r="V386" s="4">
        <v>719.53649140000005</v>
      </c>
      <c r="W386" s="8">
        <f>Table1[[#This Row],[Revenue]]-Table1[[#This Row],[Shipping costs]]-Table1[[#This Row],[Manufacturing costs]]</f>
        <v>650.67141455300009</v>
      </c>
    </row>
    <row r="387" spans="1:23" ht="14.25" customHeight="1" x14ac:dyDescent="0.25">
      <c r="A387" s="1" t="s">
        <v>21</v>
      </c>
      <c r="B387" s="1" t="s">
        <v>433</v>
      </c>
      <c r="C387" s="2">
        <v>90.15</v>
      </c>
      <c r="D387" s="1">
        <v>45</v>
      </c>
      <c r="E387" s="1">
        <v>890</v>
      </c>
      <c r="F387" s="1">
        <v>4</v>
      </c>
      <c r="G387" s="1">
        <v>12</v>
      </c>
      <c r="H387" s="1" t="str">
        <f>IF(Table1[[#This Row],[Order quantities]]&gt;Table1[[#This Row],[Availability]], "High Risk", "Low Risk")</f>
        <v>Low Risk</v>
      </c>
      <c r="I387" s="1">
        <v>6</v>
      </c>
      <c r="J387" s="1" t="s">
        <v>43</v>
      </c>
      <c r="K387" s="4">
        <v>2.7929771730000001</v>
      </c>
      <c r="L387" s="1" t="s">
        <v>44</v>
      </c>
      <c r="M387" s="1" t="s">
        <v>33</v>
      </c>
      <c r="N387" s="1">
        <v>6</v>
      </c>
      <c r="O387" s="1">
        <v>431</v>
      </c>
      <c r="P387" s="1">
        <v>11</v>
      </c>
      <c r="Q387" s="4">
        <v>57.443256490000003</v>
      </c>
      <c r="R387" s="1" t="s">
        <v>34</v>
      </c>
      <c r="S387" s="3">
        <v>2.4289556619999999</v>
      </c>
      <c r="T387" s="1" t="s">
        <v>47</v>
      </c>
      <c r="U387" s="1" t="s">
        <v>53</v>
      </c>
      <c r="V387" s="4">
        <v>365.37906529999998</v>
      </c>
      <c r="W387" s="8">
        <f>Table1[[#This Row],[Revenue]]-Table1[[#This Row],[Shipping costs]]-Table1[[#This Row],[Manufacturing costs]]</f>
        <v>305.14283163699997</v>
      </c>
    </row>
    <row r="388" spans="1:23" ht="14.25" customHeight="1" x14ac:dyDescent="0.25">
      <c r="A388" s="1" t="s">
        <v>29</v>
      </c>
      <c r="B388" s="1" t="s">
        <v>434</v>
      </c>
      <c r="C388" s="2">
        <v>6.24</v>
      </c>
      <c r="D388" s="1">
        <v>49</v>
      </c>
      <c r="E388" s="1">
        <v>426</v>
      </c>
      <c r="F388" s="1">
        <v>7</v>
      </c>
      <c r="G388" s="1">
        <v>43</v>
      </c>
      <c r="H388" s="1" t="str">
        <f>IF(Table1[[#This Row],[Order quantities]]&gt;Table1[[#This Row],[Availability]], "High Risk", "Low Risk")</f>
        <v>Low Risk</v>
      </c>
      <c r="I388" s="1">
        <v>1</v>
      </c>
      <c r="J388" s="1" t="s">
        <v>43</v>
      </c>
      <c r="K388" s="4">
        <v>3.5576586610000001</v>
      </c>
      <c r="L388" s="1" t="s">
        <v>41</v>
      </c>
      <c r="M388" s="1" t="s">
        <v>62</v>
      </c>
      <c r="N388" s="1">
        <v>23</v>
      </c>
      <c r="O388" s="1">
        <v>602</v>
      </c>
      <c r="P388" s="1">
        <v>19</v>
      </c>
      <c r="Q388" s="4">
        <v>78.756687670000005</v>
      </c>
      <c r="R388" s="1" t="s">
        <v>34</v>
      </c>
      <c r="S388" s="3">
        <v>3.9739545270000001</v>
      </c>
      <c r="T388" s="1" t="s">
        <v>35</v>
      </c>
      <c r="U388" s="1" t="s">
        <v>39</v>
      </c>
      <c r="V388" s="4">
        <v>922.0716443</v>
      </c>
      <c r="W388" s="8">
        <f>Table1[[#This Row],[Revenue]]-Table1[[#This Row],[Shipping costs]]-Table1[[#This Row],[Manufacturing costs]]</f>
        <v>839.75729796899998</v>
      </c>
    </row>
    <row r="389" spans="1:23" ht="14.25" customHeight="1" x14ac:dyDescent="0.25">
      <c r="A389" s="1" t="s">
        <v>29</v>
      </c>
      <c r="B389" s="1" t="s">
        <v>435</v>
      </c>
      <c r="C389" s="2">
        <v>13.12</v>
      </c>
      <c r="D389" s="1">
        <v>70</v>
      </c>
      <c r="E389" s="1">
        <v>20</v>
      </c>
      <c r="F389" s="1">
        <v>17</v>
      </c>
      <c r="G389" s="1">
        <v>61</v>
      </c>
      <c r="H389" s="1" t="str">
        <f>IF(Table1[[#This Row],[Order quantities]]&gt;Table1[[#This Row],[Availability]], "High Risk", "Low Risk")</f>
        <v>Low Risk</v>
      </c>
      <c r="I389" s="1">
        <v>6</v>
      </c>
      <c r="J389" s="1" t="s">
        <v>23</v>
      </c>
      <c r="K389" s="4">
        <v>3.6007167240000002</v>
      </c>
      <c r="L389" s="1" t="s">
        <v>41</v>
      </c>
      <c r="M389" s="1" t="s">
        <v>33</v>
      </c>
      <c r="N389" s="1">
        <v>27</v>
      </c>
      <c r="O389" s="1">
        <v>178</v>
      </c>
      <c r="P389" s="1">
        <v>3</v>
      </c>
      <c r="Q389" s="4">
        <v>10.45709317</v>
      </c>
      <c r="R389" s="1" t="s">
        <v>34</v>
      </c>
      <c r="S389" s="3">
        <v>0.75436113900000001</v>
      </c>
      <c r="T389" s="1" t="s">
        <v>35</v>
      </c>
      <c r="U389" s="1" t="s">
        <v>28</v>
      </c>
      <c r="V389" s="4">
        <v>348.00100309999999</v>
      </c>
      <c r="W389" s="8">
        <f>Table1[[#This Row],[Revenue]]-Table1[[#This Row],[Shipping costs]]-Table1[[#This Row],[Manufacturing costs]]</f>
        <v>333.94319320599999</v>
      </c>
    </row>
    <row r="390" spans="1:23" ht="14.25" customHeight="1" x14ac:dyDescent="0.25">
      <c r="A390" s="1" t="s">
        <v>21</v>
      </c>
      <c r="B390" s="1" t="s">
        <v>436</v>
      </c>
      <c r="C390" s="2">
        <v>24.75</v>
      </c>
      <c r="D390" s="1">
        <v>2</v>
      </c>
      <c r="E390" s="1">
        <v>406</v>
      </c>
      <c r="F390" s="1">
        <v>9</v>
      </c>
      <c r="G390" s="1">
        <v>31</v>
      </c>
      <c r="H390" s="1" t="str">
        <f>IF(Table1[[#This Row],[Order quantities]]&gt;Table1[[#This Row],[Availability]], "High Risk", "Low Risk")</f>
        <v>High Risk</v>
      </c>
      <c r="I390" s="1">
        <v>1</v>
      </c>
      <c r="J390" s="1" t="s">
        <v>23</v>
      </c>
      <c r="K390" s="4">
        <v>4.3934853790000004</v>
      </c>
      <c r="L390" s="1" t="s">
        <v>44</v>
      </c>
      <c r="M390" s="1" t="s">
        <v>49</v>
      </c>
      <c r="N390" s="1">
        <v>26</v>
      </c>
      <c r="O390" s="1">
        <v>684</v>
      </c>
      <c r="P390" s="1">
        <v>11</v>
      </c>
      <c r="Q390" s="4">
        <v>92.598277839999994</v>
      </c>
      <c r="R390" s="1" t="s">
        <v>34</v>
      </c>
      <c r="S390" s="3">
        <v>1.6218273759999999</v>
      </c>
      <c r="T390" s="1" t="s">
        <v>47</v>
      </c>
      <c r="U390" s="1" t="s">
        <v>53</v>
      </c>
      <c r="V390" s="4">
        <v>820.72854519999999</v>
      </c>
      <c r="W390" s="8">
        <f>Table1[[#This Row],[Revenue]]-Table1[[#This Row],[Shipping costs]]-Table1[[#This Row],[Manufacturing costs]]</f>
        <v>723.73678198099992</v>
      </c>
    </row>
    <row r="391" spans="1:23" ht="14.25" customHeight="1" x14ac:dyDescent="0.25">
      <c r="A391" s="1" t="s">
        <v>29</v>
      </c>
      <c r="B391" s="1" t="s">
        <v>437</v>
      </c>
      <c r="C391" s="2">
        <v>7.52</v>
      </c>
      <c r="D391" s="1">
        <v>92</v>
      </c>
      <c r="E391" s="1">
        <v>618</v>
      </c>
      <c r="F391" s="1">
        <v>4</v>
      </c>
      <c r="G391" s="1">
        <v>91</v>
      </c>
      <c r="H391" s="1" t="str">
        <f>IF(Table1[[#This Row],[Order quantities]]&gt;Table1[[#This Row],[Availability]], "High Risk", "Low Risk")</f>
        <v>Low Risk</v>
      </c>
      <c r="I391" s="1">
        <v>6</v>
      </c>
      <c r="J391" s="1" t="s">
        <v>43</v>
      </c>
      <c r="K391" s="4">
        <v>4.5398860330000002</v>
      </c>
      <c r="L391" s="1" t="s">
        <v>37</v>
      </c>
      <c r="M391" s="1" t="s">
        <v>49</v>
      </c>
      <c r="N391" s="1">
        <v>19</v>
      </c>
      <c r="O391" s="1">
        <v>787</v>
      </c>
      <c r="P391" s="1">
        <v>29</v>
      </c>
      <c r="Q391" s="4">
        <v>27.770393540000001</v>
      </c>
      <c r="R391" s="1" t="s">
        <v>26</v>
      </c>
      <c r="S391" s="3">
        <v>3.1170576620000001</v>
      </c>
      <c r="T391" s="1" t="s">
        <v>35</v>
      </c>
      <c r="U391" s="1" t="s">
        <v>28</v>
      </c>
      <c r="V391" s="4">
        <v>926.43235110000001</v>
      </c>
      <c r="W391" s="8">
        <f>Table1[[#This Row],[Revenue]]-Table1[[#This Row],[Shipping costs]]-Table1[[#This Row],[Manufacturing costs]]</f>
        <v>894.122071527</v>
      </c>
    </row>
    <row r="392" spans="1:23" ht="14.25" customHeight="1" x14ac:dyDescent="0.25">
      <c r="A392" s="1" t="s">
        <v>29</v>
      </c>
      <c r="B392" s="1" t="s">
        <v>438</v>
      </c>
      <c r="C392" s="2">
        <v>22.24</v>
      </c>
      <c r="D392" s="1">
        <v>63</v>
      </c>
      <c r="E392" s="1">
        <v>335</v>
      </c>
      <c r="F392" s="1">
        <v>19</v>
      </c>
      <c r="G392" s="1">
        <v>96</v>
      </c>
      <c r="H392" s="1" t="str">
        <f>IF(Table1[[#This Row],[Order quantities]]&gt;Table1[[#This Row],[Availability]], "High Risk", "Low Risk")</f>
        <v>High Risk</v>
      </c>
      <c r="I392" s="1">
        <v>3</v>
      </c>
      <c r="J392" s="1" t="s">
        <v>23</v>
      </c>
      <c r="K392" s="4">
        <v>5.9009979220000002</v>
      </c>
      <c r="L392" s="1" t="s">
        <v>38</v>
      </c>
      <c r="M392" s="1" t="s">
        <v>55</v>
      </c>
      <c r="N392" s="1">
        <v>11</v>
      </c>
      <c r="O392" s="1">
        <v>495</v>
      </c>
      <c r="P392" s="1">
        <v>5</v>
      </c>
      <c r="Q392" s="4">
        <v>98.570699540000007</v>
      </c>
      <c r="R392" s="1" t="s">
        <v>26</v>
      </c>
      <c r="S392" s="3">
        <v>3.4856616950000001</v>
      </c>
      <c r="T392" s="1" t="s">
        <v>47</v>
      </c>
      <c r="U392" s="1" t="s">
        <v>53</v>
      </c>
      <c r="V392" s="4">
        <v>642.70345640000005</v>
      </c>
      <c r="W392" s="8">
        <f>Table1[[#This Row],[Revenue]]-Table1[[#This Row],[Shipping costs]]-Table1[[#This Row],[Manufacturing costs]]</f>
        <v>538.2317589380001</v>
      </c>
    </row>
    <row r="393" spans="1:23" ht="14.25" customHeight="1" x14ac:dyDescent="0.25">
      <c r="A393" s="1" t="s">
        <v>29</v>
      </c>
      <c r="B393" s="1" t="s">
        <v>439</v>
      </c>
      <c r="C393" s="2">
        <v>60.39</v>
      </c>
      <c r="D393" s="1">
        <v>43</v>
      </c>
      <c r="E393" s="1">
        <v>814</v>
      </c>
      <c r="F393" s="1">
        <v>1</v>
      </c>
      <c r="G393" s="1">
        <v>61</v>
      </c>
      <c r="H393" s="1" t="str">
        <f>IF(Table1[[#This Row],[Order quantities]]&gt;Table1[[#This Row],[Availability]], "High Risk", "Low Risk")</f>
        <v>High Risk</v>
      </c>
      <c r="I393" s="1">
        <v>8</v>
      </c>
      <c r="J393" s="1" t="s">
        <v>23</v>
      </c>
      <c r="K393" s="4">
        <v>2.43891787</v>
      </c>
      <c r="L393" s="1" t="s">
        <v>44</v>
      </c>
      <c r="M393" s="1" t="s">
        <v>46</v>
      </c>
      <c r="N393" s="1">
        <v>28</v>
      </c>
      <c r="O393" s="1">
        <v>707</v>
      </c>
      <c r="P393" s="1">
        <v>17</v>
      </c>
      <c r="Q393" s="4">
        <v>76.26285532</v>
      </c>
      <c r="R393" s="1" t="s">
        <v>51</v>
      </c>
      <c r="S393" s="3">
        <v>2.080327316</v>
      </c>
      <c r="T393" s="1" t="s">
        <v>35</v>
      </c>
      <c r="U393" s="1" t="s">
        <v>28</v>
      </c>
      <c r="V393" s="4">
        <v>822.75059610000005</v>
      </c>
      <c r="W393" s="8">
        <f>Table1[[#This Row],[Revenue]]-Table1[[#This Row],[Shipping costs]]-Table1[[#This Row],[Manufacturing costs]]</f>
        <v>744.04882291000013</v>
      </c>
    </row>
    <row r="394" spans="1:23" ht="14.25" customHeight="1" x14ac:dyDescent="0.25">
      <c r="A394" s="1" t="s">
        <v>21</v>
      </c>
      <c r="B394" s="1" t="s">
        <v>440</v>
      </c>
      <c r="C394" s="2">
        <v>45.04</v>
      </c>
      <c r="D394" s="1">
        <v>52</v>
      </c>
      <c r="E394" s="1">
        <v>116</v>
      </c>
      <c r="F394" s="1">
        <v>10</v>
      </c>
      <c r="G394" s="1">
        <v>74</v>
      </c>
      <c r="H394" s="1" t="str">
        <f>IF(Table1[[#This Row],[Order quantities]]&gt;Table1[[#This Row],[Availability]], "High Risk", "Low Risk")</f>
        <v>High Risk</v>
      </c>
      <c r="I394" s="1">
        <v>6</v>
      </c>
      <c r="J394" s="1" t="s">
        <v>31</v>
      </c>
      <c r="K394" s="4">
        <v>7.2212199740000003</v>
      </c>
      <c r="L394" s="1" t="s">
        <v>38</v>
      </c>
      <c r="M394" s="1" t="s">
        <v>49</v>
      </c>
      <c r="N394" s="1">
        <v>24</v>
      </c>
      <c r="O394" s="1">
        <v>956</v>
      </c>
      <c r="P394" s="1">
        <v>26</v>
      </c>
      <c r="Q394" s="4">
        <v>79.682603290000003</v>
      </c>
      <c r="R394" s="1" t="s">
        <v>34</v>
      </c>
      <c r="S394" s="3">
        <v>4.3893191900000001</v>
      </c>
      <c r="T394" s="1" t="s">
        <v>47</v>
      </c>
      <c r="U394" s="1" t="s">
        <v>53</v>
      </c>
      <c r="V394" s="4">
        <v>812.52558929999998</v>
      </c>
      <c r="W394" s="8">
        <f>Table1[[#This Row],[Revenue]]-Table1[[#This Row],[Shipping costs]]-Table1[[#This Row],[Manufacturing costs]]</f>
        <v>725.62176603600005</v>
      </c>
    </row>
    <row r="395" spans="1:23" ht="14.25" customHeight="1" x14ac:dyDescent="0.25">
      <c r="A395" s="1" t="s">
        <v>29</v>
      </c>
      <c r="B395" s="1" t="s">
        <v>441</v>
      </c>
      <c r="C395" s="2">
        <v>89.8</v>
      </c>
      <c r="D395" s="1">
        <v>23</v>
      </c>
      <c r="E395" s="1">
        <v>123</v>
      </c>
      <c r="F395" s="1">
        <v>4</v>
      </c>
      <c r="G395" s="1">
        <v>67</v>
      </c>
      <c r="H395" s="1" t="str">
        <f>IF(Table1[[#This Row],[Order quantities]]&gt;Table1[[#This Row],[Availability]], "High Risk", "Low Risk")</f>
        <v>High Risk</v>
      </c>
      <c r="I395" s="1">
        <v>1</v>
      </c>
      <c r="J395" s="1" t="s">
        <v>37</v>
      </c>
      <c r="K395" s="4">
        <v>2.508098854</v>
      </c>
      <c r="L395" s="1" t="s">
        <v>38</v>
      </c>
      <c r="M395" s="1" t="s">
        <v>55</v>
      </c>
      <c r="N395" s="1">
        <v>2</v>
      </c>
      <c r="O395" s="1">
        <v>202</v>
      </c>
      <c r="P395" s="1">
        <v>22</v>
      </c>
      <c r="Q395" s="4">
        <v>69.058268229999996</v>
      </c>
      <c r="R395" s="1" t="s">
        <v>37</v>
      </c>
      <c r="S395" s="3">
        <v>2.1359176440000001</v>
      </c>
      <c r="T395" s="1" t="s">
        <v>47</v>
      </c>
      <c r="U395" s="1" t="s">
        <v>28</v>
      </c>
      <c r="V395" s="4">
        <v>273.84197599999999</v>
      </c>
      <c r="W395" s="8">
        <f>Table1[[#This Row],[Revenue]]-Table1[[#This Row],[Shipping costs]]-Table1[[#This Row],[Manufacturing costs]]</f>
        <v>202.27560891599995</v>
      </c>
    </row>
    <row r="396" spans="1:23" ht="14.25" customHeight="1" x14ac:dyDescent="0.25">
      <c r="A396" s="1" t="s">
        <v>21</v>
      </c>
      <c r="B396" s="1" t="s">
        <v>442</v>
      </c>
      <c r="C396" s="2">
        <v>82.66</v>
      </c>
      <c r="D396" s="1">
        <v>59</v>
      </c>
      <c r="E396" s="1">
        <v>398</v>
      </c>
      <c r="F396" s="1">
        <v>9</v>
      </c>
      <c r="G396" s="1">
        <v>91</v>
      </c>
      <c r="H396" s="1" t="str">
        <f>IF(Table1[[#This Row],[Order quantities]]&gt;Table1[[#This Row],[Availability]], "High Risk", "Low Risk")</f>
        <v>High Risk</v>
      </c>
      <c r="I396" s="1">
        <v>5</v>
      </c>
      <c r="J396" s="1" t="s">
        <v>31</v>
      </c>
      <c r="K396" s="4">
        <v>3.792776339</v>
      </c>
      <c r="L396" s="1" t="s">
        <v>44</v>
      </c>
      <c r="M396" s="1" t="s">
        <v>46</v>
      </c>
      <c r="N396" s="1">
        <v>27</v>
      </c>
      <c r="O396" s="1">
        <v>501</v>
      </c>
      <c r="P396" s="1">
        <v>7</v>
      </c>
      <c r="Q396" s="4">
        <v>52.449686450000002</v>
      </c>
      <c r="R396" s="1" t="s">
        <v>26</v>
      </c>
      <c r="S396" s="3">
        <v>2.0736030580000002</v>
      </c>
      <c r="T396" s="1" t="s">
        <v>47</v>
      </c>
      <c r="U396" s="1" t="s">
        <v>28</v>
      </c>
      <c r="V396" s="4">
        <v>701.13202620000004</v>
      </c>
      <c r="W396" s="8">
        <f>Table1[[#This Row],[Revenue]]-Table1[[#This Row],[Shipping costs]]-Table1[[#This Row],[Manufacturing costs]]</f>
        <v>644.88956341099993</v>
      </c>
    </row>
    <row r="397" spans="1:23" ht="14.25" customHeight="1" x14ac:dyDescent="0.25">
      <c r="A397" s="1" t="s">
        <v>21</v>
      </c>
      <c r="B397" s="1" t="s">
        <v>443</v>
      </c>
      <c r="C397" s="2">
        <v>37.47</v>
      </c>
      <c r="D397" s="1">
        <v>2</v>
      </c>
      <c r="E397" s="1">
        <v>792</v>
      </c>
      <c r="F397" s="1">
        <v>13</v>
      </c>
      <c r="G397" s="1">
        <v>35</v>
      </c>
      <c r="H397" s="1" t="str">
        <f>IF(Table1[[#This Row],[Order quantities]]&gt;Table1[[#This Row],[Availability]], "High Risk", "Low Risk")</f>
        <v>High Risk</v>
      </c>
      <c r="I397" s="1">
        <v>8</v>
      </c>
      <c r="J397" s="1" t="s">
        <v>23</v>
      </c>
      <c r="K397" s="4">
        <v>5.5301061750000002</v>
      </c>
      <c r="L397" s="1" t="s">
        <v>44</v>
      </c>
      <c r="M397" s="1" t="s">
        <v>33</v>
      </c>
      <c r="N397" s="1">
        <v>8</v>
      </c>
      <c r="O397" s="1">
        <v>323</v>
      </c>
      <c r="P397" s="1">
        <v>10</v>
      </c>
      <c r="Q397" s="4">
        <v>61.446492399999997</v>
      </c>
      <c r="R397" s="1" t="s">
        <v>51</v>
      </c>
      <c r="S397" s="3">
        <v>0.27741558100000002</v>
      </c>
      <c r="T397" s="1" t="s">
        <v>47</v>
      </c>
      <c r="U397" s="1" t="s">
        <v>39</v>
      </c>
      <c r="V397" s="4">
        <v>184.12114320000001</v>
      </c>
      <c r="W397" s="8">
        <f>Table1[[#This Row],[Revenue]]-Table1[[#This Row],[Shipping costs]]-Table1[[#This Row],[Manufacturing costs]]</f>
        <v>117.14454462499999</v>
      </c>
    </row>
    <row r="398" spans="1:23" ht="14.25" customHeight="1" x14ac:dyDescent="0.25">
      <c r="A398" s="1" t="s">
        <v>29</v>
      </c>
      <c r="B398" s="1" t="s">
        <v>444</v>
      </c>
      <c r="C398" s="2">
        <v>29.65</v>
      </c>
      <c r="D398" s="1">
        <v>19</v>
      </c>
      <c r="E398" s="1">
        <v>803</v>
      </c>
      <c r="F398" s="1">
        <v>14</v>
      </c>
      <c r="G398" s="1">
        <v>95</v>
      </c>
      <c r="H398" s="1" t="str">
        <f>IF(Table1[[#This Row],[Order quantities]]&gt;Table1[[#This Row],[Availability]], "High Risk", "Low Risk")</f>
        <v>High Risk</v>
      </c>
      <c r="I398" s="1">
        <v>3</v>
      </c>
      <c r="J398" s="1" t="s">
        <v>31</v>
      </c>
      <c r="K398" s="4">
        <v>8.1679650539999997</v>
      </c>
      <c r="L398" s="1" t="s">
        <v>41</v>
      </c>
      <c r="M398" s="1" t="s">
        <v>25</v>
      </c>
      <c r="N398" s="1">
        <v>29</v>
      </c>
      <c r="O398" s="1">
        <v>617</v>
      </c>
      <c r="P398" s="1">
        <v>28</v>
      </c>
      <c r="Q398" s="4">
        <v>14.176259740000001</v>
      </c>
      <c r="R398" s="1" t="s">
        <v>26</v>
      </c>
      <c r="S398" s="3">
        <v>2.8005925469999999</v>
      </c>
      <c r="T398" s="1" t="s">
        <v>47</v>
      </c>
      <c r="U398" s="1" t="s">
        <v>39</v>
      </c>
      <c r="V398" s="4">
        <v>557.06512880000002</v>
      </c>
      <c r="W398" s="8">
        <f>Table1[[#This Row],[Revenue]]-Table1[[#This Row],[Shipping costs]]-Table1[[#This Row],[Manufacturing costs]]</f>
        <v>534.72090400600007</v>
      </c>
    </row>
    <row r="399" spans="1:23" ht="14.25" customHeight="1" x14ac:dyDescent="0.25">
      <c r="A399" s="1" t="s">
        <v>21</v>
      </c>
      <c r="B399" s="1" t="s">
        <v>445</v>
      </c>
      <c r="C399" s="2">
        <v>41.07</v>
      </c>
      <c r="D399" s="1">
        <v>45</v>
      </c>
      <c r="E399" s="1">
        <v>714</v>
      </c>
      <c r="F399" s="1">
        <v>10</v>
      </c>
      <c r="G399" s="1">
        <v>15</v>
      </c>
      <c r="H399" s="1" t="str">
        <f>IF(Table1[[#This Row],[Order quantities]]&gt;Table1[[#This Row],[Availability]], "High Risk", "Low Risk")</f>
        <v>Low Risk</v>
      </c>
      <c r="I399" s="1">
        <v>6</v>
      </c>
      <c r="J399" s="1" t="s">
        <v>31</v>
      </c>
      <c r="K399" s="4">
        <v>7.6552230989999996</v>
      </c>
      <c r="L399" s="1" t="s">
        <v>41</v>
      </c>
      <c r="M399" s="1" t="s">
        <v>33</v>
      </c>
      <c r="N399" s="1">
        <v>11</v>
      </c>
      <c r="O399" s="1">
        <v>733</v>
      </c>
      <c r="P399" s="1">
        <v>29</v>
      </c>
      <c r="Q399" s="4">
        <v>66.156355849999997</v>
      </c>
      <c r="R399" s="1" t="s">
        <v>34</v>
      </c>
      <c r="S399" s="3">
        <v>3.5725361090000001</v>
      </c>
      <c r="T399" s="1" t="s">
        <v>47</v>
      </c>
      <c r="U399" s="1" t="s">
        <v>28</v>
      </c>
      <c r="V399" s="4">
        <v>246.0119933</v>
      </c>
      <c r="W399" s="8">
        <f>Table1[[#This Row],[Revenue]]-Table1[[#This Row],[Shipping costs]]-Table1[[#This Row],[Manufacturing costs]]</f>
        <v>172.20041435100001</v>
      </c>
    </row>
    <row r="400" spans="1:23" ht="14.25" customHeight="1" x14ac:dyDescent="0.25">
      <c r="A400" s="1" t="s">
        <v>21</v>
      </c>
      <c r="B400" s="1" t="s">
        <v>446</v>
      </c>
      <c r="C400" s="2">
        <v>61.08</v>
      </c>
      <c r="D400" s="1">
        <v>14</v>
      </c>
      <c r="E400" s="1">
        <v>50</v>
      </c>
      <c r="F400" s="1">
        <v>6</v>
      </c>
      <c r="G400" s="1">
        <v>16</v>
      </c>
      <c r="H400" s="1" t="str">
        <f>IF(Table1[[#This Row],[Order quantities]]&gt;Table1[[#This Row],[Availability]], "High Risk", "Low Risk")</f>
        <v>High Risk</v>
      </c>
      <c r="I400" s="1">
        <v>5</v>
      </c>
      <c r="J400" s="1" t="s">
        <v>43</v>
      </c>
      <c r="K400" s="4">
        <v>6.8098092079999999</v>
      </c>
      <c r="L400" s="1" t="s">
        <v>38</v>
      </c>
      <c r="M400" s="1" t="s">
        <v>62</v>
      </c>
      <c r="N400" s="1">
        <v>5</v>
      </c>
      <c r="O400" s="1">
        <v>335</v>
      </c>
      <c r="P400" s="1">
        <v>11</v>
      </c>
      <c r="Q400" s="4">
        <v>66.348829179999996</v>
      </c>
      <c r="R400" s="1" t="s">
        <v>51</v>
      </c>
      <c r="S400" s="3">
        <v>0.66074700099999994</v>
      </c>
      <c r="T400" s="1" t="s">
        <v>27</v>
      </c>
      <c r="U400" s="1" t="s">
        <v>28</v>
      </c>
      <c r="V400" s="4">
        <v>474.71454890000001</v>
      </c>
      <c r="W400" s="8">
        <f>Table1[[#This Row],[Revenue]]-Table1[[#This Row],[Shipping costs]]-Table1[[#This Row],[Manufacturing costs]]</f>
        <v>401.55591051200003</v>
      </c>
    </row>
    <row r="401" spans="1:23" ht="14.25" customHeight="1" x14ac:dyDescent="0.25">
      <c r="A401" s="1" t="s">
        <v>29</v>
      </c>
      <c r="B401" s="1" t="s">
        <v>447</v>
      </c>
      <c r="C401" s="2">
        <v>30.47</v>
      </c>
      <c r="D401" s="1">
        <v>24</v>
      </c>
      <c r="E401" s="1">
        <v>782</v>
      </c>
      <c r="F401" s="1">
        <v>16</v>
      </c>
      <c r="G401" s="1">
        <v>13</v>
      </c>
      <c r="H401" s="1" t="str">
        <f>IF(Table1[[#This Row],[Order quantities]]&gt;Table1[[#This Row],[Availability]], "High Risk", "Low Risk")</f>
        <v>Low Risk</v>
      </c>
      <c r="I401" s="1">
        <v>6</v>
      </c>
      <c r="J401" s="1" t="s">
        <v>43</v>
      </c>
      <c r="K401" s="4">
        <v>2.4019593449999999</v>
      </c>
      <c r="L401" s="1" t="s">
        <v>41</v>
      </c>
      <c r="M401" s="1" t="s">
        <v>33</v>
      </c>
      <c r="N401" s="1">
        <v>18</v>
      </c>
      <c r="O401" s="1">
        <v>526</v>
      </c>
      <c r="P401" s="1">
        <v>3</v>
      </c>
      <c r="Q401" s="4">
        <v>90.208071770000004</v>
      </c>
      <c r="R401" s="1" t="s">
        <v>26</v>
      </c>
      <c r="S401" s="3">
        <v>1.596620554</v>
      </c>
      <c r="T401" s="1" t="s">
        <v>35</v>
      </c>
      <c r="U401" s="1" t="s">
        <v>28</v>
      </c>
      <c r="V401" s="4">
        <v>849.68386720000001</v>
      </c>
      <c r="W401" s="8">
        <f>Table1[[#This Row],[Revenue]]-Table1[[#This Row],[Shipping costs]]-Table1[[#This Row],[Manufacturing costs]]</f>
        <v>757.07383608500004</v>
      </c>
    </row>
    <row r="402" spans="1:23" ht="14.25" customHeight="1" x14ac:dyDescent="0.25">
      <c r="A402" s="1" t="s">
        <v>29</v>
      </c>
      <c r="B402" s="1" t="s">
        <v>448</v>
      </c>
      <c r="C402" s="2">
        <v>64.290000000000006</v>
      </c>
      <c r="D402" s="1">
        <v>93</v>
      </c>
      <c r="E402" s="1">
        <v>323</v>
      </c>
      <c r="F402" s="1">
        <v>6</v>
      </c>
      <c r="G402" s="1">
        <v>35</v>
      </c>
      <c r="H402" s="1" t="str">
        <f>IF(Table1[[#This Row],[Order quantities]]&gt;Table1[[#This Row],[Availability]], "High Risk", "Low Risk")</f>
        <v>Low Risk</v>
      </c>
      <c r="I402" s="1">
        <v>1</v>
      </c>
      <c r="J402" s="1" t="s">
        <v>43</v>
      </c>
      <c r="K402" s="4">
        <v>5.9234081109999996</v>
      </c>
      <c r="L402" s="1" t="s">
        <v>32</v>
      </c>
      <c r="M402" s="1" t="s">
        <v>62</v>
      </c>
      <c r="N402" s="1">
        <v>23</v>
      </c>
      <c r="O402" s="1">
        <v>215</v>
      </c>
      <c r="P402" s="1">
        <v>20</v>
      </c>
      <c r="Q402" s="4">
        <v>55.509072170000003</v>
      </c>
      <c r="R402" s="1" t="s">
        <v>51</v>
      </c>
      <c r="S402" s="3">
        <v>3.9281590739999999</v>
      </c>
      <c r="T402" s="1" t="s">
        <v>47</v>
      </c>
      <c r="U402" s="1" t="s">
        <v>39</v>
      </c>
      <c r="V402" s="4">
        <v>988.45105569999998</v>
      </c>
      <c r="W402" s="8">
        <f>Table1[[#This Row],[Revenue]]-Table1[[#This Row],[Shipping costs]]-Table1[[#This Row],[Manufacturing costs]]</f>
        <v>927.01857541900006</v>
      </c>
    </row>
    <row r="403" spans="1:23" ht="14.25" customHeight="1" x14ac:dyDescent="0.25">
      <c r="A403" s="1" t="s">
        <v>29</v>
      </c>
      <c r="B403" s="1" t="s">
        <v>449</v>
      </c>
      <c r="C403" s="2">
        <v>43.89</v>
      </c>
      <c r="D403" s="1">
        <v>77</v>
      </c>
      <c r="E403" s="1">
        <v>788</v>
      </c>
      <c r="F403" s="1">
        <v>17</v>
      </c>
      <c r="G403" s="1">
        <v>75</v>
      </c>
      <c r="H403" s="1" t="str">
        <f>IF(Table1[[#This Row],[Order quantities]]&gt;Table1[[#This Row],[Availability]], "High Risk", "Low Risk")</f>
        <v>Low Risk</v>
      </c>
      <c r="I403" s="1">
        <v>7</v>
      </c>
      <c r="J403" s="1" t="s">
        <v>31</v>
      </c>
      <c r="K403" s="4">
        <v>1.7870185160000001</v>
      </c>
      <c r="L403" s="1" t="s">
        <v>32</v>
      </c>
      <c r="M403" s="1" t="s">
        <v>49</v>
      </c>
      <c r="N403" s="1">
        <v>30</v>
      </c>
      <c r="O403" s="1">
        <v>262</v>
      </c>
      <c r="P403" s="1">
        <v>10</v>
      </c>
      <c r="Q403" s="4">
        <v>16.94299367</v>
      </c>
      <c r="R403" s="1" t="s">
        <v>34</v>
      </c>
      <c r="S403" s="3">
        <v>1.8930052340000001</v>
      </c>
      <c r="T403" s="1" t="s">
        <v>47</v>
      </c>
      <c r="U403" s="1" t="s">
        <v>53</v>
      </c>
      <c r="V403" s="4">
        <v>386.16384849999997</v>
      </c>
      <c r="W403" s="8">
        <f>Table1[[#This Row],[Revenue]]-Table1[[#This Row],[Shipping costs]]-Table1[[#This Row],[Manufacturing costs]]</f>
        <v>367.43383631399996</v>
      </c>
    </row>
    <row r="404" spans="1:23" ht="14.25" customHeight="1" x14ac:dyDescent="0.25">
      <c r="A404" s="1" t="s">
        <v>29</v>
      </c>
      <c r="B404" s="1" t="s">
        <v>450</v>
      </c>
      <c r="C404" s="2">
        <v>57.44</v>
      </c>
      <c r="D404" s="1">
        <v>70</v>
      </c>
      <c r="E404" s="1">
        <v>140</v>
      </c>
      <c r="F404" s="1">
        <v>10</v>
      </c>
      <c r="G404" s="1">
        <v>59</v>
      </c>
      <c r="H404" s="1" t="str">
        <f>IF(Table1[[#This Row],[Order quantities]]&gt;Table1[[#This Row],[Availability]], "High Risk", "Low Risk")</f>
        <v>Low Risk</v>
      </c>
      <c r="I404" s="1">
        <v>9</v>
      </c>
      <c r="J404" s="1" t="s">
        <v>43</v>
      </c>
      <c r="K404" s="4">
        <v>4.3962685910000001</v>
      </c>
      <c r="L404" s="1" t="s">
        <v>41</v>
      </c>
      <c r="M404" s="1" t="s">
        <v>62</v>
      </c>
      <c r="N404" s="1">
        <v>18</v>
      </c>
      <c r="O404" s="1">
        <v>325</v>
      </c>
      <c r="P404" s="1">
        <v>27</v>
      </c>
      <c r="Q404" s="4">
        <v>37.557632839999997</v>
      </c>
      <c r="R404" s="1" t="s">
        <v>34</v>
      </c>
      <c r="S404" s="3">
        <v>1.283852064</v>
      </c>
      <c r="T404" s="1" t="s">
        <v>35</v>
      </c>
      <c r="U404" s="1" t="s">
        <v>53</v>
      </c>
      <c r="V404" s="4">
        <v>578.76012890000004</v>
      </c>
      <c r="W404" s="8">
        <f>Table1[[#This Row],[Revenue]]-Table1[[#This Row],[Shipping costs]]-Table1[[#This Row],[Manufacturing costs]]</f>
        <v>536.80622746900008</v>
      </c>
    </row>
    <row r="405" spans="1:23" ht="14.25" customHeight="1" x14ac:dyDescent="0.25">
      <c r="A405" s="1" t="s">
        <v>21</v>
      </c>
      <c r="B405" s="1" t="s">
        <v>451</v>
      </c>
      <c r="C405" s="2">
        <v>46.43</v>
      </c>
      <c r="D405" s="1">
        <v>16</v>
      </c>
      <c r="E405" s="1">
        <v>469</v>
      </c>
      <c r="F405" s="1">
        <v>18</v>
      </c>
      <c r="G405" s="1">
        <v>21</v>
      </c>
      <c r="H405" s="1" t="str">
        <f>IF(Table1[[#This Row],[Order quantities]]&gt;Table1[[#This Row],[Availability]], "High Risk", "Low Risk")</f>
        <v>High Risk</v>
      </c>
      <c r="I405" s="1">
        <v>2</v>
      </c>
      <c r="J405" s="1" t="s">
        <v>23</v>
      </c>
      <c r="K405" s="4">
        <v>4.7216487730000001</v>
      </c>
      <c r="L405" s="1" t="s">
        <v>44</v>
      </c>
      <c r="M405" s="1" t="s">
        <v>33</v>
      </c>
      <c r="N405" s="1">
        <v>14</v>
      </c>
      <c r="O405" s="1">
        <v>329</v>
      </c>
      <c r="P405" s="1">
        <v>10</v>
      </c>
      <c r="Q405" s="4">
        <v>69.006647090000001</v>
      </c>
      <c r="R405" s="1" t="s">
        <v>26</v>
      </c>
      <c r="S405" s="3">
        <v>3.3937832509999999</v>
      </c>
      <c r="T405" s="1" t="s">
        <v>35</v>
      </c>
      <c r="U405" s="1" t="s">
        <v>39</v>
      </c>
      <c r="V405" s="4">
        <v>560.16822190000005</v>
      </c>
      <c r="W405" s="8">
        <f>Table1[[#This Row],[Revenue]]-Table1[[#This Row],[Shipping costs]]-Table1[[#This Row],[Manufacturing costs]]</f>
        <v>486.43992603700008</v>
      </c>
    </row>
    <row r="406" spans="1:23" ht="14.25" customHeight="1" x14ac:dyDescent="0.25">
      <c r="A406" s="1" t="s">
        <v>21</v>
      </c>
      <c r="B406" s="1" t="s">
        <v>452</v>
      </c>
      <c r="C406" s="2">
        <v>32.97</v>
      </c>
      <c r="D406" s="1">
        <v>83</v>
      </c>
      <c r="E406" s="1">
        <v>786</v>
      </c>
      <c r="F406" s="1">
        <v>27</v>
      </c>
      <c r="G406" s="1">
        <v>54</v>
      </c>
      <c r="H406" s="1" t="str">
        <f>IF(Table1[[#This Row],[Order quantities]]&gt;Table1[[#This Row],[Availability]], "High Risk", "Low Risk")</f>
        <v>Low Risk</v>
      </c>
      <c r="I406" s="1">
        <v>5</v>
      </c>
      <c r="J406" s="1" t="s">
        <v>43</v>
      </c>
      <c r="K406" s="4">
        <v>1.3583029550000001</v>
      </c>
      <c r="L406" s="1" t="s">
        <v>32</v>
      </c>
      <c r="M406" s="1" t="s">
        <v>49</v>
      </c>
      <c r="N406" s="1">
        <v>22</v>
      </c>
      <c r="O406" s="1">
        <v>281</v>
      </c>
      <c r="P406" s="1">
        <v>14</v>
      </c>
      <c r="Q406" s="4">
        <v>31.533297650000002</v>
      </c>
      <c r="R406" s="1" t="s">
        <v>34</v>
      </c>
      <c r="S406" s="3">
        <v>1.0641180109999999</v>
      </c>
      <c r="T406" s="1" t="s">
        <v>35</v>
      </c>
      <c r="U406" s="1" t="s">
        <v>28</v>
      </c>
      <c r="V406" s="4">
        <v>958.96135879999997</v>
      </c>
      <c r="W406" s="8">
        <f>Table1[[#This Row],[Revenue]]-Table1[[#This Row],[Shipping costs]]-Table1[[#This Row],[Manufacturing costs]]</f>
        <v>926.06975819499996</v>
      </c>
    </row>
    <row r="407" spans="1:23" ht="14.25" customHeight="1" x14ac:dyDescent="0.25">
      <c r="A407" s="1" t="s">
        <v>21</v>
      </c>
      <c r="B407" s="1" t="s">
        <v>453</v>
      </c>
      <c r="C407" s="2">
        <v>95.1</v>
      </c>
      <c r="D407" s="1">
        <v>99</v>
      </c>
      <c r="E407" s="1">
        <v>801</v>
      </c>
      <c r="F407" s="1">
        <v>22</v>
      </c>
      <c r="G407" s="1">
        <v>75</v>
      </c>
      <c r="H407" s="1" t="str">
        <f>IF(Table1[[#This Row],[Order quantities]]&gt;Table1[[#This Row],[Availability]], "High Risk", "Low Risk")</f>
        <v>Low Risk</v>
      </c>
      <c r="I407" s="1">
        <v>4</v>
      </c>
      <c r="J407" s="1" t="s">
        <v>31</v>
      </c>
      <c r="K407" s="4">
        <v>3.4658928950000001</v>
      </c>
      <c r="L407" s="1" t="s">
        <v>38</v>
      </c>
      <c r="M407" s="1" t="s">
        <v>49</v>
      </c>
      <c r="N407" s="1">
        <v>10</v>
      </c>
      <c r="O407" s="1">
        <v>348</v>
      </c>
      <c r="P407" s="1">
        <v>12</v>
      </c>
      <c r="Q407" s="4">
        <v>35.247503969999997</v>
      </c>
      <c r="R407" s="1" t="s">
        <v>51</v>
      </c>
      <c r="S407" s="3">
        <v>4.488699306</v>
      </c>
      <c r="T407" s="1" t="s">
        <v>47</v>
      </c>
      <c r="U407" s="1" t="s">
        <v>53</v>
      </c>
      <c r="V407" s="4">
        <v>530.72535919999996</v>
      </c>
      <c r="W407" s="8">
        <f>Table1[[#This Row],[Revenue]]-Table1[[#This Row],[Shipping costs]]-Table1[[#This Row],[Manufacturing costs]]</f>
        <v>492.01196233499991</v>
      </c>
    </row>
    <row r="408" spans="1:23" ht="14.25" customHeight="1" x14ac:dyDescent="0.25">
      <c r="A408" s="1" t="s">
        <v>29</v>
      </c>
      <c r="B408" s="1" t="s">
        <v>454</v>
      </c>
      <c r="C408" s="2">
        <v>77.540000000000006</v>
      </c>
      <c r="D408" s="1">
        <v>8</v>
      </c>
      <c r="E408" s="1">
        <v>333</v>
      </c>
      <c r="F408" s="1">
        <v>18</v>
      </c>
      <c r="G408" s="1">
        <v>30</v>
      </c>
      <c r="H408" s="1" t="str">
        <f>IF(Table1[[#This Row],[Order quantities]]&gt;Table1[[#This Row],[Availability]], "High Risk", "Low Risk")</f>
        <v>High Risk</v>
      </c>
      <c r="I408" s="1">
        <v>6</v>
      </c>
      <c r="J408" s="1" t="s">
        <v>43</v>
      </c>
      <c r="K408" s="4">
        <v>9.6008452050000006</v>
      </c>
      <c r="L408" s="1" t="s">
        <v>32</v>
      </c>
      <c r="M408" s="1" t="s">
        <v>33</v>
      </c>
      <c r="N408" s="1">
        <v>3</v>
      </c>
      <c r="O408" s="1">
        <v>417</v>
      </c>
      <c r="P408" s="1">
        <v>15</v>
      </c>
      <c r="Q408" s="4">
        <v>83.842211469999995</v>
      </c>
      <c r="R408" s="1" t="s">
        <v>34</v>
      </c>
      <c r="S408" s="3">
        <v>0.61743214099999999</v>
      </c>
      <c r="T408" s="1" t="s">
        <v>27</v>
      </c>
      <c r="U408" s="1" t="s">
        <v>28</v>
      </c>
      <c r="V408" s="4">
        <v>729.19558489999997</v>
      </c>
      <c r="W408" s="8">
        <f>Table1[[#This Row],[Revenue]]-Table1[[#This Row],[Shipping costs]]-Table1[[#This Row],[Manufacturing costs]]</f>
        <v>635.75252822499988</v>
      </c>
    </row>
    <row r="409" spans="1:23" ht="14.25" customHeight="1" x14ac:dyDescent="0.25">
      <c r="A409" s="1" t="s">
        <v>29</v>
      </c>
      <c r="B409" s="1" t="s">
        <v>455</v>
      </c>
      <c r="C409" s="2">
        <v>18.309999999999999</v>
      </c>
      <c r="D409" s="1">
        <v>37</v>
      </c>
      <c r="E409" s="1">
        <v>892</v>
      </c>
      <c r="F409" s="1">
        <v>3</v>
      </c>
      <c r="G409" s="1">
        <v>48</v>
      </c>
      <c r="H409" s="1" t="str">
        <f>IF(Table1[[#This Row],[Order quantities]]&gt;Table1[[#This Row],[Availability]], "High Risk", "Low Risk")</f>
        <v>High Risk</v>
      </c>
      <c r="I409" s="1">
        <v>6</v>
      </c>
      <c r="J409" s="1" t="s">
        <v>31</v>
      </c>
      <c r="K409" s="4">
        <v>9.5826934700000006</v>
      </c>
      <c r="L409" s="1" t="s">
        <v>32</v>
      </c>
      <c r="M409" s="1" t="s">
        <v>55</v>
      </c>
      <c r="N409" s="1">
        <v>9</v>
      </c>
      <c r="O409" s="1">
        <v>309</v>
      </c>
      <c r="P409" s="1">
        <v>10</v>
      </c>
      <c r="Q409" s="4">
        <v>62.588775859999998</v>
      </c>
      <c r="R409" s="1" t="s">
        <v>34</v>
      </c>
      <c r="S409" s="3">
        <v>3.562094031</v>
      </c>
      <c r="T409" s="1" t="s">
        <v>47</v>
      </c>
      <c r="U409" s="1" t="s">
        <v>39</v>
      </c>
      <c r="V409" s="4">
        <v>929.61030979999998</v>
      </c>
      <c r="W409" s="8">
        <f>Table1[[#This Row],[Revenue]]-Table1[[#This Row],[Shipping costs]]-Table1[[#This Row],[Manufacturing costs]]</f>
        <v>857.43884047000006</v>
      </c>
    </row>
    <row r="410" spans="1:23" ht="14.25" customHeight="1" x14ac:dyDescent="0.25">
      <c r="A410" s="1" t="s">
        <v>29</v>
      </c>
      <c r="B410" s="1" t="s">
        <v>456</v>
      </c>
      <c r="C410" s="2">
        <v>51.31</v>
      </c>
      <c r="D410" s="1">
        <v>59</v>
      </c>
      <c r="E410" s="1">
        <v>372</v>
      </c>
      <c r="F410" s="1">
        <v>27</v>
      </c>
      <c r="G410" s="1">
        <v>86</v>
      </c>
      <c r="H410" s="1" t="str">
        <f>IF(Table1[[#This Row],[Order quantities]]&gt;Table1[[#This Row],[Availability]], "High Risk", "Low Risk")</f>
        <v>High Risk</v>
      </c>
      <c r="I410" s="1">
        <v>2</v>
      </c>
      <c r="J410" s="1" t="s">
        <v>23</v>
      </c>
      <c r="K410" s="4">
        <v>1.387900981</v>
      </c>
      <c r="L410" s="1" t="s">
        <v>38</v>
      </c>
      <c r="M410" s="1" t="s">
        <v>55</v>
      </c>
      <c r="N410" s="1">
        <v>11</v>
      </c>
      <c r="O410" s="1">
        <v>491</v>
      </c>
      <c r="P410" s="1">
        <v>10</v>
      </c>
      <c r="Q410" s="4">
        <v>38.660677010000001</v>
      </c>
      <c r="R410" s="1" t="s">
        <v>26</v>
      </c>
      <c r="S410" s="3">
        <v>4.3626548559999998</v>
      </c>
      <c r="T410" s="1" t="s">
        <v>35</v>
      </c>
      <c r="U410" s="1" t="s">
        <v>39</v>
      </c>
      <c r="V410" s="4">
        <v>911.91001440000002</v>
      </c>
      <c r="W410" s="8">
        <f>Table1[[#This Row],[Revenue]]-Table1[[#This Row],[Shipping costs]]-Table1[[#This Row],[Manufacturing costs]]</f>
        <v>871.86143640900002</v>
      </c>
    </row>
    <row r="411" spans="1:23" ht="14.25" customHeight="1" x14ac:dyDescent="0.25">
      <c r="A411" s="1" t="s">
        <v>21</v>
      </c>
      <c r="B411" s="1" t="s">
        <v>457</v>
      </c>
      <c r="C411" s="2">
        <v>89.98</v>
      </c>
      <c r="D411" s="1">
        <v>62</v>
      </c>
      <c r="E411" s="1">
        <v>563</v>
      </c>
      <c r="F411" s="1">
        <v>21</v>
      </c>
      <c r="G411" s="1">
        <v>38</v>
      </c>
      <c r="H411" s="1" t="str">
        <f>IF(Table1[[#This Row],[Order quantities]]&gt;Table1[[#This Row],[Availability]], "High Risk", "Low Risk")</f>
        <v>Low Risk</v>
      </c>
      <c r="I411" s="1">
        <v>4</v>
      </c>
      <c r="J411" s="1" t="s">
        <v>43</v>
      </c>
      <c r="K411" s="4">
        <v>2.6118544539999999</v>
      </c>
      <c r="L411" s="1" t="s">
        <v>32</v>
      </c>
      <c r="M411" s="1" t="s">
        <v>62</v>
      </c>
      <c r="N411" s="1">
        <v>12</v>
      </c>
      <c r="O411" s="1">
        <v>956</v>
      </c>
      <c r="P411" s="1">
        <v>26</v>
      </c>
      <c r="Q411" s="4">
        <v>75.78352323</v>
      </c>
      <c r="R411" s="1" t="s">
        <v>34</v>
      </c>
      <c r="S411" s="3">
        <v>0.71835594599999997</v>
      </c>
      <c r="T411" s="1" t="s">
        <v>47</v>
      </c>
      <c r="U411" s="1" t="s">
        <v>39</v>
      </c>
      <c r="V411" s="4">
        <v>925.71059969999999</v>
      </c>
      <c r="W411" s="8">
        <f>Table1[[#This Row],[Revenue]]-Table1[[#This Row],[Shipping costs]]-Table1[[#This Row],[Manufacturing costs]]</f>
        <v>847.31522201600001</v>
      </c>
    </row>
    <row r="412" spans="1:23" ht="14.25" customHeight="1" x14ac:dyDescent="0.25">
      <c r="A412" s="1" t="s">
        <v>29</v>
      </c>
      <c r="B412" s="1" t="s">
        <v>458</v>
      </c>
      <c r="C412" s="2">
        <v>80.989999999999995</v>
      </c>
      <c r="D412" s="1">
        <v>85</v>
      </c>
      <c r="E412" s="1">
        <v>493</v>
      </c>
      <c r="F412" s="1">
        <v>25</v>
      </c>
      <c r="G412" s="1">
        <v>31</v>
      </c>
      <c r="H412" s="1" t="str">
        <f>IF(Table1[[#This Row],[Order quantities]]&gt;Table1[[#This Row],[Availability]], "High Risk", "Low Risk")</f>
        <v>Low Risk</v>
      </c>
      <c r="I412" s="1">
        <v>1</v>
      </c>
      <c r="J412" s="1" t="s">
        <v>43</v>
      </c>
      <c r="K412" s="4">
        <v>4.5299601410000001</v>
      </c>
      <c r="L412" s="1" t="s">
        <v>44</v>
      </c>
      <c r="M412" s="1" t="s">
        <v>46</v>
      </c>
      <c r="N412" s="1">
        <v>12</v>
      </c>
      <c r="O412" s="1">
        <v>195</v>
      </c>
      <c r="P412" s="1">
        <v>19</v>
      </c>
      <c r="Q412" s="4">
        <v>35.894659099999998</v>
      </c>
      <c r="R412" s="1" t="s">
        <v>26</v>
      </c>
      <c r="S412" s="3">
        <v>3.421685101</v>
      </c>
      <c r="T412" s="1" t="s">
        <v>35</v>
      </c>
      <c r="U412" s="1" t="s">
        <v>39</v>
      </c>
      <c r="V412" s="4">
        <v>937.59625359999995</v>
      </c>
      <c r="W412" s="8">
        <f>Table1[[#This Row],[Revenue]]-Table1[[#This Row],[Shipping costs]]-Table1[[#This Row],[Manufacturing costs]]</f>
        <v>897.171634359</v>
      </c>
    </row>
    <row r="413" spans="1:23" ht="14.25" customHeight="1" x14ac:dyDescent="0.25">
      <c r="A413" s="1" t="s">
        <v>21</v>
      </c>
      <c r="B413" s="1" t="s">
        <v>459</v>
      </c>
      <c r="C413" s="2">
        <v>45.4</v>
      </c>
      <c r="D413" s="1">
        <v>1</v>
      </c>
      <c r="E413" s="1">
        <v>538</v>
      </c>
      <c r="F413" s="1">
        <v>28</v>
      </c>
      <c r="G413" s="1">
        <v>78</v>
      </c>
      <c r="H413" s="1" t="str">
        <f>IF(Table1[[#This Row],[Order quantities]]&gt;Table1[[#This Row],[Availability]], "High Risk", "Low Risk")</f>
        <v>High Risk</v>
      </c>
      <c r="I413" s="1">
        <v>9</v>
      </c>
      <c r="J413" s="1" t="s">
        <v>23</v>
      </c>
      <c r="K413" s="4">
        <v>9.5300172819999993</v>
      </c>
      <c r="L413" s="1" t="s">
        <v>38</v>
      </c>
      <c r="M413" s="1" t="s">
        <v>46</v>
      </c>
      <c r="N413" s="1">
        <v>3</v>
      </c>
      <c r="O413" s="1">
        <v>993</v>
      </c>
      <c r="P413" s="1">
        <v>1</v>
      </c>
      <c r="Q413" s="4">
        <v>76.335716590000004</v>
      </c>
      <c r="R413" s="1" t="s">
        <v>34</v>
      </c>
      <c r="S413" s="3">
        <v>2.9030677319999998</v>
      </c>
      <c r="T413" s="1" t="s">
        <v>47</v>
      </c>
      <c r="U413" s="1" t="s">
        <v>28</v>
      </c>
      <c r="V413" s="4">
        <v>343.40156689999998</v>
      </c>
      <c r="W413" s="8">
        <f>Table1[[#This Row],[Revenue]]-Table1[[#This Row],[Shipping costs]]-Table1[[#This Row],[Manufacturing costs]]</f>
        <v>257.53583302799996</v>
      </c>
    </row>
    <row r="414" spans="1:23" ht="14.25" customHeight="1" x14ac:dyDescent="0.25">
      <c r="A414" s="1" t="s">
        <v>29</v>
      </c>
      <c r="B414" s="1" t="s">
        <v>460</v>
      </c>
      <c r="C414" s="2">
        <v>7.13</v>
      </c>
      <c r="D414" s="1">
        <v>87</v>
      </c>
      <c r="E414" s="1">
        <v>668</v>
      </c>
      <c r="F414" s="1">
        <v>15</v>
      </c>
      <c r="G414" s="1">
        <v>24</v>
      </c>
      <c r="H414" s="1" t="str">
        <f>IF(Table1[[#This Row],[Order quantities]]&gt;Table1[[#This Row],[Availability]], "High Risk", "Low Risk")</f>
        <v>Low Risk</v>
      </c>
      <c r="I414" s="1">
        <v>7</v>
      </c>
      <c r="J414" s="1" t="s">
        <v>43</v>
      </c>
      <c r="K414" s="4">
        <v>2.2707915719999998</v>
      </c>
      <c r="L414" s="1" t="s">
        <v>41</v>
      </c>
      <c r="M414" s="1" t="s">
        <v>49</v>
      </c>
      <c r="N414" s="1">
        <v>21</v>
      </c>
      <c r="O414" s="1">
        <v>957</v>
      </c>
      <c r="P414" s="1">
        <v>24</v>
      </c>
      <c r="Q414" s="4">
        <v>16.30913322</v>
      </c>
      <c r="R414" s="1" t="s">
        <v>34</v>
      </c>
      <c r="S414" s="3">
        <v>2.4524416969999998</v>
      </c>
      <c r="T414" s="1" t="s">
        <v>35</v>
      </c>
      <c r="U414" s="1" t="s">
        <v>39</v>
      </c>
      <c r="V414" s="4">
        <v>460.32003479999997</v>
      </c>
      <c r="W414" s="8">
        <f>Table1[[#This Row],[Revenue]]-Table1[[#This Row],[Shipping costs]]-Table1[[#This Row],[Manufacturing costs]]</f>
        <v>441.74011000799999</v>
      </c>
    </row>
    <row r="415" spans="1:23" ht="14.25" customHeight="1" x14ac:dyDescent="0.25">
      <c r="A415" s="1" t="s">
        <v>21</v>
      </c>
      <c r="B415" s="1" t="s">
        <v>461</v>
      </c>
      <c r="C415" s="2">
        <v>30.52</v>
      </c>
      <c r="D415" s="1">
        <v>71</v>
      </c>
      <c r="E415" s="1">
        <v>750</v>
      </c>
      <c r="F415" s="1">
        <v>15</v>
      </c>
      <c r="G415" s="1">
        <v>49</v>
      </c>
      <c r="H415" s="1" t="str">
        <f>IF(Table1[[#This Row],[Order quantities]]&gt;Table1[[#This Row],[Availability]], "High Risk", "Low Risk")</f>
        <v>Low Risk</v>
      </c>
      <c r="I415" s="1">
        <v>7</v>
      </c>
      <c r="J415" s="1" t="s">
        <v>23</v>
      </c>
      <c r="K415" s="4">
        <v>7.8716425929999998</v>
      </c>
      <c r="L415" s="1" t="s">
        <v>44</v>
      </c>
      <c r="M415" s="1" t="s">
        <v>46</v>
      </c>
      <c r="N415" s="1">
        <v>7</v>
      </c>
      <c r="O415" s="1">
        <v>855</v>
      </c>
      <c r="P415" s="1">
        <v>29</v>
      </c>
      <c r="Q415" s="4">
        <v>87.808720739999998</v>
      </c>
      <c r="R415" s="1" t="s">
        <v>34</v>
      </c>
      <c r="S415" s="3">
        <v>2.507895591</v>
      </c>
      <c r="T415" s="1" t="s">
        <v>27</v>
      </c>
      <c r="U415" s="1" t="s">
        <v>53</v>
      </c>
      <c r="V415" s="4">
        <v>883.35631739999997</v>
      </c>
      <c r="W415" s="8">
        <f>Table1[[#This Row],[Revenue]]-Table1[[#This Row],[Shipping costs]]-Table1[[#This Row],[Manufacturing costs]]</f>
        <v>787.67595406699991</v>
      </c>
    </row>
    <row r="416" spans="1:23" ht="14.25" customHeight="1" x14ac:dyDescent="0.25">
      <c r="A416" s="1" t="s">
        <v>29</v>
      </c>
      <c r="B416" s="1" t="s">
        <v>462</v>
      </c>
      <c r="C416" s="2">
        <v>56.46</v>
      </c>
      <c r="D416" s="1">
        <v>10</v>
      </c>
      <c r="E416" s="1">
        <v>155</v>
      </c>
      <c r="F416" s="1">
        <v>4</v>
      </c>
      <c r="G416" s="1">
        <v>96</v>
      </c>
      <c r="H416" s="1" t="str">
        <f>IF(Table1[[#This Row],[Order quantities]]&gt;Table1[[#This Row],[Availability]], "High Risk", "Low Risk")</f>
        <v>High Risk</v>
      </c>
      <c r="I416" s="1">
        <v>3</v>
      </c>
      <c r="J416" s="1" t="s">
        <v>43</v>
      </c>
      <c r="K416" s="4">
        <v>1.9781428539999999</v>
      </c>
      <c r="L416" s="1" t="s">
        <v>24</v>
      </c>
      <c r="M416" s="1" t="s">
        <v>33</v>
      </c>
      <c r="N416" s="1">
        <v>14</v>
      </c>
      <c r="O416" s="1">
        <v>185</v>
      </c>
      <c r="P416" s="1">
        <v>26</v>
      </c>
      <c r="Q416" s="4">
        <v>54.960981699999998</v>
      </c>
      <c r="R416" s="1" t="s">
        <v>26</v>
      </c>
      <c r="S416" s="3">
        <v>3.6376871130000001</v>
      </c>
      <c r="T416" s="1" t="s">
        <v>35</v>
      </c>
      <c r="U416" s="1" t="s">
        <v>28</v>
      </c>
      <c r="V416" s="4">
        <v>423.24564190000001</v>
      </c>
      <c r="W416" s="8">
        <f>Table1[[#This Row],[Revenue]]-Table1[[#This Row],[Shipping costs]]-Table1[[#This Row],[Manufacturing costs]]</f>
        <v>366.30651734600002</v>
      </c>
    </row>
    <row r="417" spans="1:23" ht="14.25" customHeight="1" x14ac:dyDescent="0.25">
      <c r="A417" s="1" t="s">
        <v>21</v>
      </c>
      <c r="B417" s="1" t="s">
        <v>463</v>
      </c>
      <c r="C417" s="2">
        <v>65.180000000000007</v>
      </c>
      <c r="D417" s="1">
        <v>63</v>
      </c>
      <c r="E417" s="1">
        <v>290</v>
      </c>
      <c r="F417" s="1">
        <v>29</v>
      </c>
      <c r="G417" s="1">
        <v>32</v>
      </c>
      <c r="H417" s="1" t="str">
        <f>IF(Table1[[#This Row],[Order quantities]]&gt;Table1[[#This Row],[Availability]], "High Risk", "Low Risk")</f>
        <v>Low Risk</v>
      </c>
      <c r="I417" s="1">
        <v>3</v>
      </c>
      <c r="J417" s="1" t="s">
        <v>23</v>
      </c>
      <c r="K417" s="4">
        <v>9.8313181969999999</v>
      </c>
      <c r="L417" s="1" t="s">
        <v>24</v>
      </c>
      <c r="M417" s="1" t="s">
        <v>55</v>
      </c>
      <c r="N417" s="1">
        <v>24</v>
      </c>
      <c r="O417" s="1">
        <v>514</v>
      </c>
      <c r="P417" s="1">
        <v>10</v>
      </c>
      <c r="Q417" s="4">
        <v>49.465721500000001</v>
      </c>
      <c r="R417" s="1" t="s">
        <v>26</v>
      </c>
      <c r="S417" s="3">
        <v>4.6949341090000001</v>
      </c>
      <c r="T417" s="1" t="s">
        <v>35</v>
      </c>
      <c r="U417" s="1" t="s">
        <v>39</v>
      </c>
      <c r="V417" s="4">
        <v>640.22772959999998</v>
      </c>
      <c r="W417" s="8">
        <f>Table1[[#This Row],[Revenue]]-Table1[[#This Row],[Shipping costs]]-Table1[[#This Row],[Manufacturing costs]]</f>
        <v>580.93068990300003</v>
      </c>
    </row>
    <row r="418" spans="1:23" ht="14.25" customHeight="1" x14ac:dyDescent="0.25">
      <c r="A418" s="1" t="s">
        <v>21</v>
      </c>
      <c r="B418" s="1" t="s">
        <v>464</v>
      </c>
      <c r="C418" s="2">
        <v>29.5</v>
      </c>
      <c r="D418" s="1">
        <v>76</v>
      </c>
      <c r="E418" s="1">
        <v>647</v>
      </c>
      <c r="F418" s="1">
        <v>27</v>
      </c>
      <c r="G418" s="1">
        <v>55</v>
      </c>
      <c r="H418" s="1" t="str">
        <f>IF(Table1[[#This Row],[Order quantities]]&gt;Table1[[#This Row],[Availability]], "High Risk", "Low Risk")</f>
        <v>Low Risk</v>
      </c>
      <c r="I418" s="1">
        <v>1</v>
      </c>
      <c r="J418" s="1" t="s">
        <v>43</v>
      </c>
      <c r="K418" s="4">
        <v>4.4345484920000002</v>
      </c>
      <c r="L418" s="1" t="s">
        <v>37</v>
      </c>
      <c r="M418" s="1" t="s">
        <v>62</v>
      </c>
      <c r="N418" s="1">
        <v>28</v>
      </c>
      <c r="O418" s="1">
        <v>493</v>
      </c>
      <c r="P418" s="1">
        <v>2</v>
      </c>
      <c r="Q418" s="4">
        <v>64.992107039999993</v>
      </c>
      <c r="R418" s="1" t="s">
        <v>34</v>
      </c>
      <c r="S418" s="3">
        <v>0.54713312999999997</v>
      </c>
      <c r="T418" s="1" t="s">
        <v>35</v>
      </c>
      <c r="U418" s="1" t="s">
        <v>28</v>
      </c>
      <c r="V418" s="4">
        <v>206.24905649999999</v>
      </c>
      <c r="W418" s="8">
        <f>Table1[[#This Row],[Revenue]]-Table1[[#This Row],[Shipping costs]]-Table1[[#This Row],[Manufacturing costs]]</f>
        <v>136.82240096800001</v>
      </c>
    </row>
    <row r="419" spans="1:23" ht="14.25" customHeight="1" x14ac:dyDescent="0.25">
      <c r="A419" s="1" t="s">
        <v>21</v>
      </c>
      <c r="B419" s="1" t="s">
        <v>465</v>
      </c>
      <c r="C419" s="2">
        <v>18.239999999999998</v>
      </c>
      <c r="D419" s="1">
        <v>80</v>
      </c>
      <c r="E419" s="1">
        <v>143</v>
      </c>
      <c r="F419" s="1">
        <v>9</v>
      </c>
      <c r="G419" s="1">
        <v>79</v>
      </c>
      <c r="H419" s="1" t="str">
        <f>IF(Table1[[#This Row],[Order quantities]]&gt;Table1[[#This Row],[Availability]], "High Risk", "Low Risk")</f>
        <v>Low Risk</v>
      </c>
      <c r="I419" s="1">
        <v>3</v>
      </c>
      <c r="J419" s="1" t="s">
        <v>43</v>
      </c>
      <c r="K419" s="4">
        <v>7.9771108499999999</v>
      </c>
      <c r="L419" s="1" t="s">
        <v>41</v>
      </c>
      <c r="M419" s="1" t="s">
        <v>62</v>
      </c>
      <c r="N419" s="1">
        <v>11</v>
      </c>
      <c r="O419" s="1">
        <v>795</v>
      </c>
      <c r="P419" s="1">
        <v>17</v>
      </c>
      <c r="Q419" s="4">
        <v>66.177286559999999</v>
      </c>
      <c r="R419" s="1" t="s">
        <v>26</v>
      </c>
      <c r="S419" s="3">
        <v>0.195562973</v>
      </c>
      <c r="T419" s="1" t="s">
        <v>27</v>
      </c>
      <c r="U419" s="1" t="s">
        <v>39</v>
      </c>
      <c r="V419" s="4">
        <v>150.64748929999999</v>
      </c>
      <c r="W419" s="8">
        <f>Table1[[#This Row],[Revenue]]-Table1[[#This Row],[Shipping costs]]-Table1[[#This Row],[Manufacturing costs]]</f>
        <v>76.493091889999988</v>
      </c>
    </row>
    <row r="420" spans="1:23" ht="14.25" customHeight="1" x14ac:dyDescent="0.25">
      <c r="A420" s="1" t="s">
        <v>29</v>
      </c>
      <c r="B420" s="1" t="s">
        <v>466</v>
      </c>
      <c r="C420" s="2">
        <v>84.32</v>
      </c>
      <c r="D420" s="1">
        <v>71</v>
      </c>
      <c r="E420" s="1">
        <v>105</v>
      </c>
      <c r="F420" s="1">
        <v>27</v>
      </c>
      <c r="G420" s="1">
        <v>58</v>
      </c>
      <c r="H420" s="1" t="str">
        <f>IF(Table1[[#This Row],[Order quantities]]&gt;Table1[[#This Row],[Availability]], "High Risk", "Low Risk")</f>
        <v>Low Risk</v>
      </c>
      <c r="I420" s="1">
        <v>3</v>
      </c>
      <c r="J420" s="1" t="s">
        <v>23</v>
      </c>
      <c r="K420" s="4">
        <v>4.0833197449999998</v>
      </c>
      <c r="L420" s="1" t="s">
        <v>44</v>
      </c>
      <c r="M420" s="1" t="s">
        <v>62</v>
      </c>
      <c r="N420" s="1">
        <v>7</v>
      </c>
      <c r="O420" s="1">
        <v>732</v>
      </c>
      <c r="P420" s="1">
        <v>30</v>
      </c>
      <c r="Q420" s="4">
        <v>21.88316592</v>
      </c>
      <c r="R420" s="1" t="s">
        <v>34</v>
      </c>
      <c r="S420" s="3">
        <v>4.0479534829999997</v>
      </c>
      <c r="T420" s="1" t="s">
        <v>27</v>
      </c>
      <c r="U420" s="1" t="s">
        <v>28</v>
      </c>
      <c r="V420" s="4">
        <v>470.79459050000003</v>
      </c>
      <c r="W420" s="8">
        <f>Table1[[#This Row],[Revenue]]-Table1[[#This Row],[Shipping costs]]-Table1[[#This Row],[Manufacturing costs]]</f>
        <v>444.82810483500003</v>
      </c>
    </row>
    <row r="421" spans="1:23" ht="14.25" customHeight="1" x14ac:dyDescent="0.25">
      <c r="A421" s="1" t="s">
        <v>29</v>
      </c>
      <c r="B421" s="1" t="s">
        <v>467</v>
      </c>
      <c r="C421" s="2">
        <v>98.52</v>
      </c>
      <c r="D421" s="1">
        <v>20</v>
      </c>
      <c r="E421" s="1">
        <v>419</v>
      </c>
      <c r="F421" s="1">
        <v>26</v>
      </c>
      <c r="G421" s="1">
        <v>99</v>
      </c>
      <c r="H421" s="1" t="str">
        <f>IF(Table1[[#This Row],[Order quantities]]&gt;Table1[[#This Row],[Availability]], "High Risk", "Low Risk")</f>
        <v>High Risk</v>
      </c>
      <c r="I421" s="1">
        <v>4</v>
      </c>
      <c r="J421" s="1" t="s">
        <v>43</v>
      </c>
      <c r="K421" s="4">
        <v>6.6490198940000003</v>
      </c>
      <c r="L421" s="1" t="s">
        <v>44</v>
      </c>
      <c r="M421" s="1" t="s">
        <v>33</v>
      </c>
      <c r="N421" s="1">
        <v>25</v>
      </c>
      <c r="O421" s="1">
        <v>943</v>
      </c>
      <c r="P421" s="1">
        <v>24</v>
      </c>
      <c r="Q421" s="4">
        <v>78.061023079999998</v>
      </c>
      <c r="R421" s="1" t="s">
        <v>34</v>
      </c>
      <c r="S421" s="3">
        <v>0.63002999900000001</v>
      </c>
      <c r="T421" s="1" t="s">
        <v>35</v>
      </c>
      <c r="U421" s="1" t="s">
        <v>28</v>
      </c>
      <c r="V421" s="4">
        <v>621.02487929999995</v>
      </c>
      <c r="W421" s="8">
        <f>Table1[[#This Row],[Revenue]]-Table1[[#This Row],[Shipping costs]]-Table1[[#This Row],[Manufacturing costs]]</f>
        <v>536.31483632599986</v>
      </c>
    </row>
    <row r="422" spans="1:23" ht="14.25" customHeight="1" x14ac:dyDescent="0.25">
      <c r="A422" s="1" t="s">
        <v>21</v>
      </c>
      <c r="B422" s="1" t="s">
        <v>468</v>
      </c>
      <c r="C422" s="2">
        <v>54.94</v>
      </c>
      <c r="D422" s="1">
        <v>17</v>
      </c>
      <c r="E422" s="1">
        <v>669</v>
      </c>
      <c r="F422" s="1">
        <v>19</v>
      </c>
      <c r="G422" s="1">
        <v>3</v>
      </c>
      <c r="H422" s="1" t="str">
        <f>IF(Table1[[#This Row],[Order quantities]]&gt;Table1[[#This Row],[Availability]], "High Risk", "Low Risk")</f>
        <v>Low Risk</v>
      </c>
      <c r="I422" s="1">
        <v>4</v>
      </c>
      <c r="J422" s="1" t="s">
        <v>43</v>
      </c>
      <c r="K422" s="4">
        <v>2.728144763</v>
      </c>
      <c r="L422" s="1" t="s">
        <v>44</v>
      </c>
      <c r="M422" s="1" t="s">
        <v>49</v>
      </c>
      <c r="N422" s="1">
        <v>21</v>
      </c>
      <c r="O422" s="1">
        <v>600</v>
      </c>
      <c r="P422" s="1">
        <v>7</v>
      </c>
      <c r="Q422" s="4">
        <v>34.833546820000002</v>
      </c>
      <c r="R422" s="1" t="s">
        <v>51</v>
      </c>
      <c r="S422" s="3">
        <v>4.9348143010000003</v>
      </c>
      <c r="T422" s="1" t="s">
        <v>27</v>
      </c>
      <c r="U422" s="1" t="s">
        <v>39</v>
      </c>
      <c r="V422" s="4">
        <v>453.42920199999998</v>
      </c>
      <c r="W422" s="8">
        <f>Table1[[#This Row],[Revenue]]-Table1[[#This Row],[Shipping costs]]-Table1[[#This Row],[Manufacturing costs]]</f>
        <v>415.86751041700001</v>
      </c>
    </row>
    <row r="423" spans="1:23" ht="14.25" customHeight="1" x14ac:dyDescent="0.25">
      <c r="A423" s="1" t="s">
        <v>21</v>
      </c>
      <c r="B423" s="1" t="s">
        <v>469</v>
      </c>
      <c r="C423" s="2">
        <v>21.31</v>
      </c>
      <c r="D423" s="1">
        <v>93</v>
      </c>
      <c r="E423" s="1">
        <v>657</v>
      </c>
      <c r="F423" s="1">
        <v>24</v>
      </c>
      <c r="G423" s="1">
        <v>80</v>
      </c>
      <c r="H423" s="1" t="str">
        <f>IF(Table1[[#This Row],[Order quantities]]&gt;Table1[[#This Row],[Availability]], "High Risk", "Low Risk")</f>
        <v>Low Risk</v>
      </c>
      <c r="I423" s="1">
        <v>3</v>
      </c>
      <c r="J423" s="1" t="s">
        <v>31</v>
      </c>
      <c r="K423" s="4">
        <v>2.314189174</v>
      </c>
      <c r="L423" s="1" t="s">
        <v>38</v>
      </c>
      <c r="M423" s="1" t="s">
        <v>55</v>
      </c>
      <c r="N423" s="1">
        <v>10</v>
      </c>
      <c r="O423" s="1">
        <v>703</v>
      </c>
      <c r="P423" s="1">
        <v>7</v>
      </c>
      <c r="Q423" s="4">
        <v>91.446569220000001</v>
      </c>
      <c r="R423" s="1" t="s">
        <v>34</v>
      </c>
      <c r="S423" s="3">
        <v>3.1348064199999999</v>
      </c>
      <c r="T423" s="1" t="s">
        <v>27</v>
      </c>
      <c r="U423" s="1" t="s">
        <v>39</v>
      </c>
      <c r="V423" s="4">
        <v>619.96219310000004</v>
      </c>
      <c r="W423" s="8">
        <f>Table1[[#This Row],[Revenue]]-Table1[[#This Row],[Shipping costs]]-Table1[[#This Row],[Manufacturing costs]]</f>
        <v>526.20143470599999</v>
      </c>
    </row>
    <row r="424" spans="1:23" ht="14.25" customHeight="1" x14ac:dyDescent="0.25">
      <c r="A424" s="1" t="s">
        <v>29</v>
      </c>
      <c r="B424" s="1" t="s">
        <v>470</v>
      </c>
      <c r="C424" s="2">
        <v>30.87</v>
      </c>
      <c r="D424" s="1">
        <v>63</v>
      </c>
      <c r="E424" s="1">
        <v>1</v>
      </c>
      <c r="F424" s="1">
        <v>28</v>
      </c>
      <c r="G424" s="1">
        <v>69</v>
      </c>
      <c r="H424" s="1" t="str">
        <f>IF(Table1[[#This Row],[Order quantities]]&gt;Table1[[#This Row],[Availability]], "High Risk", "Low Risk")</f>
        <v>High Risk</v>
      </c>
      <c r="I424" s="1">
        <v>8</v>
      </c>
      <c r="J424" s="1" t="s">
        <v>43</v>
      </c>
      <c r="K424" s="4">
        <v>9.4425772559999999</v>
      </c>
      <c r="L424" s="1" t="s">
        <v>37</v>
      </c>
      <c r="M424" s="1" t="s">
        <v>55</v>
      </c>
      <c r="N424" s="1">
        <v>11</v>
      </c>
      <c r="O424" s="1">
        <v>681</v>
      </c>
      <c r="P424" s="1">
        <v>20</v>
      </c>
      <c r="Q424" s="4">
        <v>83.606559709999999</v>
      </c>
      <c r="R424" s="1" t="s">
        <v>26</v>
      </c>
      <c r="S424" s="3">
        <v>3.2892453370000001</v>
      </c>
      <c r="T424" s="1" t="s">
        <v>27</v>
      </c>
      <c r="U424" s="1" t="s">
        <v>28</v>
      </c>
      <c r="V424" s="4">
        <v>563.57593859999997</v>
      </c>
      <c r="W424" s="8">
        <f>Table1[[#This Row],[Revenue]]-Table1[[#This Row],[Shipping costs]]-Table1[[#This Row],[Manufacturing costs]]</f>
        <v>470.52680163399992</v>
      </c>
    </row>
    <row r="425" spans="1:23" ht="14.25" customHeight="1" x14ac:dyDescent="0.25">
      <c r="A425" s="1" t="s">
        <v>21</v>
      </c>
      <c r="B425" s="1" t="s">
        <v>471</v>
      </c>
      <c r="C425" s="2">
        <v>6.75</v>
      </c>
      <c r="D425" s="1">
        <v>81</v>
      </c>
      <c r="E425" s="1">
        <v>944</v>
      </c>
      <c r="F425" s="1">
        <v>17</v>
      </c>
      <c r="G425" s="1">
        <v>85</v>
      </c>
      <c r="H425" s="1" t="str">
        <f>IF(Table1[[#This Row],[Order quantities]]&gt;Table1[[#This Row],[Availability]], "High Risk", "Low Risk")</f>
        <v>High Risk</v>
      </c>
      <c r="I425" s="1">
        <v>8</v>
      </c>
      <c r="J425" s="1" t="s">
        <v>43</v>
      </c>
      <c r="K425" s="4">
        <v>9.2588255010000005</v>
      </c>
      <c r="L425" s="1" t="s">
        <v>32</v>
      </c>
      <c r="M425" s="1" t="s">
        <v>55</v>
      </c>
      <c r="N425" s="1">
        <v>15</v>
      </c>
      <c r="O425" s="1">
        <v>232</v>
      </c>
      <c r="P425" s="1">
        <v>27</v>
      </c>
      <c r="Q425" s="4">
        <v>41.163943740000001</v>
      </c>
      <c r="R425" s="1" t="s">
        <v>26</v>
      </c>
      <c r="S425" s="3">
        <v>1.0745693439999999</v>
      </c>
      <c r="T425" s="1" t="s">
        <v>47</v>
      </c>
      <c r="U425" s="1" t="s">
        <v>39</v>
      </c>
      <c r="V425" s="4">
        <v>717.13650640000003</v>
      </c>
      <c r="W425" s="8">
        <f>Table1[[#This Row],[Revenue]]-Table1[[#This Row],[Shipping costs]]-Table1[[#This Row],[Manufacturing costs]]</f>
        <v>666.71373715899995</v>
      </c>
    </row>
    <row r="426" spans="1:23" ht="14.25" customHeight="1" x14ac:dyDescent="0.25">
      <c r="A426" s="1" t="s">
        <v>29</v>
      </c>
      <c r="B426" s="1" t="s">
        <v>472</v>
      </c>
      <c r="C426" s="2">
        <v>91.86</v>
      </c>
      <c r="D426" s="1">
        <v>94</v>
      </c>
      <c r="E426" s="1">
        <v>588</v>
      </c>
      <c r="F426" s="1">
        <v>11</v>
      </c>
      <c r="G426" s="1">
        <v>10</v>
      </c>
      <c r="H426" s="1" t="str">
        <f>IF(Table1[[#This Row],[Order quantities]]&gt;Table1[[#This Row],[Availability]], "High Risk", "Low Risk")</f>
        <v>Low Risk</v>
      </c>
      <c r="I426" s="1">
        <v>1</v>
      </c>
      <c r="J426" s="1" t="s">
        <v>31</v>
      </c>
      <c r="K426" s="4">
        <v>8.9872204619999998</v>
      </c>
      <c r="L426" s="1" t="s">
        <v>44</v>
      </c>
      <c r="M426" s="1" t="s">
        <v>49</v>
      </c>
      <c r="N426" s="1">
        <v>19</v>
      </c>
      <c r="O426" s="1">
        <v>890</v>
      </c>
      <c r="P426" s="1">
        <v>9</v>
      </c>
      <c r="Q426" s="4">
        <v>82.696536390000006</v>
      </c>
      <c r="R426" s="1" t="s">
        <v>37</v>
      </c>
      <c r="S426" s="3">
        <v>1.2775303200000001</v>
      </c>
      <c r="T426" s="1" t="s">
        <v>47</v>
      </c>
      <c r="U426" s="1" t="s">
        <v>53</v>
      </c>
      <c r="V426" s="4">
        <v>684.57918800000004</v>
      </c>
      <c r="W426" s="8">
        <f>Table1[[#This Row],[Revenue]]-Table1[[#This Row],[Shipping costs]]-Table1[[#This Row],[Manufacturing costs]]</f>
        <v>592.89543114800006</v>
      </c>
    </row>
    <row r="427" spans="1:23" ht="14.25" customHeight="1" x14ac:dyDescent="0.25">
      <c r="A427" s="1" t="s">
        <v>29</v>
      </c>
      <c r="B427" s="1" t="s">
        <v>473</v>
      </c>
      <c r="C427" s="2">
        <v>16.190000000000001</v>
      </c>
      <c r="D427" s="1">
        <v>37</v>
      </c>
      <c r="E427" s="1">
        <v>643</v>
      </c>
      <c r="F427" s="1">
        <v>25</v>
      </c>
      <c r="G427" s="1">
        <v>83</v>
      </c>
      <c r="H427" s="1" t="str">
        <f>IF(Table1[[#This Row],[Order quantities]]&gt;Table1[[#This Row],[Availability]], "High Risk", "Low Risk")</f>
        <v>High Risk</v>
      </c>
      <c r="I427" s="1">
        <v>7</v>
      </c>
      <c r="J427" s="1" t="s">
        <v>31</v>
      </c>
      <c r="K427" s="4">
        <v>6.6289010509999997</v>
      </c>
      <c r="L427" s="1" t="s">
        <v>24</v>
      </c>
      <c r="M427" s="1" t="s">
        <v>33</v>
      </c>
      <c r="N427" s="1">
        <v>16</v>
      </c>
      <c r="O427" s="1">
        <v>748</v>
      </c>
      <c r="P427" s="1">
        <v>22</v>
      </c>
      <c r="Q427" s="4">
        <v>42.075144940000001</v>
      </c>
      <c r="R427" s="1" t="s">
        <v>37</v>
      </c>
      <c r="S427" s="3">
        <v>3.3308164850000002</v>
      </c>
      <c r="T427" s="1" t="s">
        <v>27</v>
      </c>
      <c r="U427" s="1" t="s">
        <v>28</v>
      </c>
      <c r="V427" s="4">
        <v>481.82113290000001</v>
      </c>
      <c r="W427" s="8">
        <f>Table1[[#This Row],[Revenue]]-Table1[[#This Row],[Shipping costs]]-Table1[[#This Row],[Manufacturing costs]]</f>
        <v>433.11708690900002</v>
      </c>
    </row>
    <row r="428" spans="1:23" ht="14.25" customHeight="1" x14ac:dyDescent="0.25">
      <c r="A428" s="1" t="s">
        <v>21</v>
      </c>
      <c r="B428" s="1" t="s">
        <v>474</v>
      </c>
      <c r="C428" s="2">
        <v>59.77</v>
      </c>
      <c r="D428" s="1">
        <v>31</v>
      </c>
      <c r="E428" s="1">
        <v>89</v>
      </c>
      <c r="F428" s="1">
        <v>9</v>
      </c>
      <c r="G428" s="1">
        <v>25</v>
      </c>
      <c r="H428" s="1" t="str">
        <f>IF(Table1[[#This Row],[Order quantities]]&gt;Table1[[#This Row],[Availability]], "High Risk", "Low Risk")</f>
        <v>Low Risk</v>
      </c>
      <c r="I428" s="1">
        <v>2</v>
      </c>
      <c r="J428" s="1" t="s">
        <v>43</v>
      </c>
      <c r="K428" s="4">
        <v>8.2744139010000008</v>
      </c>
      <c r="L428" s="1" t="s">
        <v>41</v>
      </c>
      <c r="M428" s="1" t="s">
        <v>33</v>
      </c>
      <c r="N428" s="1">
        <v>22</v>
      </c>
      <c r="O428" s="1">
        <v>413</v>
      </c>
      <c r="P428" s="1">
        <v>2</v>
      </c>
      <c r="Q428" s="4">
        <v>19.085291349999999</v>
      </c>
      <c r="R428" s="1" t="s">
        <v>51</v>
      </c>
      <c r="S428" s="3">
        <v>4.5576615059999996</v>
      </c>
      <c r="T428" s="1" t="s">
        <v>27</v>
      </c>
      <c r="U428" s="1" t="s">
        <v>28</v>
      </c>
      <c r="V428" s="4">
        <v>482.49571639999999</v>
      </c>
      <c r="W428" s="8">
        <f>Table1[[#This Row],[Revenue]]-Table1[[#This Row],[Shipping costs]]-Table1[[#This Row],[Manufacturing costs]]</f>
        <v>455.13601114900001</v>
      </c>
    </row>
    <row r="429" spans="1:23" ht="14.25" customHeight="1" x14ac:dyDescent="0.25">
      <c r="A429" s="1" t="s">
        <v>21</v>
      </c>
      <c r="B429" s="1" t="s">
        <v>475</v>
      </c>
      <c r="C429" s="2">
        <v>31.04</v>
      </c>
      <c r="D429" s="1">
        <v>10</v>
      </c>
      <c r="E429" s="1">
        <v>344</v>
      </c>
      <c r="F429" s="1">
        <v>10</v>
      </c>
      <c r="G429" s="1">
        <v>68</v>
      </c>
      <c r="H429" s="1" t="str">
        <f>IF(Table1[[#This Row],[Order quantities]]&gt;Table1[[#This Row],[Availability]], "High Risk", "Low Risk")</f>
        <v>High Risk</v>
      </c>
      <c r="I429" s="1">
        <v>1</v>
      </c>
      <c r="J429" s="1" t="s">
        <v>23</v>
      </c>
      <c r="K429" s="4">
        <v>1.621332432</v>
      </c>
      <c r="L429" s="1" t="s">
        <v>44</v>
      </c>
      <c r="M429" s="1" t="s">
        <v>55</v>
      </c>
      <c r="N429" s="1">
        <v>21</v>
      </c>
      <c r="O429" s="1">
        <v>798</v>
      </c>
      <c r="P429" s="1">
        <v>14</v>
      </c>
      <c r="Q429" s="4">
        <v>96.569941490000005</v>
      </c>
      <c r="R429" s="1" t="s">
        <v>34</v>
      </c>
      <c r="S429" s="3">
        <v>4.9137137170000003</v>
      </c>
      <c r="T429" s="1" t="s">
        <v>47</v>
      </c>
      <c r="U429" s="1" t="s">
        <v>28</v>
      </c>
      <c r="V429" s="4">
        <v>226.70050599999999</v>
      </c>
      <c r="W429" s="8">
        <f>Table1[[#This Row],[Revenue]]-Table1[[#This Row],[Shipping costs]]-Table1[[#This Row],[Manufacturing costs]]</f>
        <v>128.50923207799997</v>
      </c>
    </row>
    <row r="430" spans="1:23" ht="14.25" customHeight="1" x14ac:dyDescent="0.25">
      <c r="A430" s="1" t="s">
        <v>114</v>
      </c>
      <c r="B430" s="1" t="s">
        <v>476</v>
      </c>
      <c r="C430" s="2">
        <v>57.65</v>
      </c>
      <c r="D430" s="1">
        <v>44</v>
      </c>
      <c r="E430" s="1">
        <v>349</v>
      </c>
      <c r="F430" s="1">
        <v>18</v>
      </c>
      <c r="G430" s="1">
        <v>61</v>
      </c>
      <c r="H430" s="1" t="str">
        <f>IF(Table1[[#This Row],[Order quantities]]&gt;Table1[[#This Row],[Availability]], "High Risk", "Low Risk")</f>
        <v>High Risk</v>
      </c>
      <c r="I430" s="1">
        <v>3</v>
      </c>
      <c r="J430" s="1" t="s">
        <v>43</v>
      </c>
      <c r="K430" s="4">
        <v>4.0131013769999999</v>
      </c>
      <c r="L430" s="1" t="s">
        <v>24</v>
      </c>
      <c r="M430" s="1" t="s">
        <v>33</v>
      </c>
      <c r="N430" s="1">
        <v>28</v>
      </c>
      <c r="O430" s="1">
        <v>320</v>
      </c>
      <c r="P430" s="1">
        <v>17</v>
      </c>
      <c r="Q430" s="4">
        <v>68.734181370000002</v>
      </c>
      <c r="R430" s="1" t="s">
        <v>51</v>
      </c>
      <c r="S430" s="3">
        <v>1.070351638</v>
      </c>
      <c r="T430" s="1" t="s">
        <v>47</v>
      </c>
      <c r="U430" s="1" t="s">
        <v>28</v>
      </c>
      <c r="V430" s="4">
        <v>561.91471490000004</v>
      </c>
      <c r="W430" s="8">
        <f>Table1[[#This Row],[Revenue]]-Table1[[#This Row],[Shipping costs]]-Table1[[#This Row],[Manufacturing costs]]</f>
        <v>489.16743215300005</v>
      </c>
    </row>
    <row r="431" spans="1:23" ht="14.25" customHeight="1" x14ac:dyDescent="0.25">
      <c r="A431" s="1" t="s">
        <v>21</v>
      </c>
      <c r="B431" s="1" t="s">
        <v>477</v>
      </c>
      <c r="C431" s="2">
        <v>66.88</v>
      </c>
      <c r="D431" s="1">
        <v>88</v>
      </c>
      <c r="E431" s="1">
        <v>458</v>
      </c>
      <c r="F431" s="1">
        <v>20</v>
      </c>
      <c r="G431" s="1">
        <v>29</v>
      </c>
      <c r="H431" s="1" t="str">
        <f>IF(Table1[[#This Row],[Order quantities]]&gt;Table1[[#This Row],[Availability]], "High Risk", "Low Risk")</f>
        <v>Low Risk</v>
      </c>
      <c r="I431" s="1">
        <v>4</v>
      </c>
      <c r="J431" s="1" t="s">
        <v>31</v>
      </c>
      <c r="K431" s="4">
        <v>3.823328123</v>
      </c>
      <c r="L431" s="1" t="s">
        <v>44</v>
      </c>
      <c r="M431" s="1" t="s">
        <v>49</v>
      </c>
      <c r="N431" s="1">
        <v>20</v>
      </c>
      <c r="O431" s="1">
        <v>537</v>
      </c>
      <c r="P431" s="1">
        <v>1</v>
      </c>
      <c r="Q431" s="4">
        <v>51.048957399999999</v>
      </c>
      <c r="R431" s="1" t="s">
        <v>26</v>
      </c>
      <c r="S431" s="3">
        <v>0.75718615099999997</v>
      </c>
      <c r="T431" s="1" t="s">
        <v>27</v>
      </c>
      <c r="U431" s="1" t="s">
        <v>53</v>
      </c>
      <c r="V431" s="4">
        <v>628.46121530000005</v>
      </c>
      <c r="W431" s="8">
        <f>Table1[[#This Row],[Revenue]]-Table1[[#This Row],[Shipping costs]]-Table1[[#This Row],[Manufacturing costs]]</f>
        <v>573.58892977700009</v>
      </c>
    </row>
    <row r="432" spans="1:23" ht="14.25" customHeight="1" x14ac:dyDescent="0.25">
      <c r="A432" s="1" t="s">
        <v>21</v>
      </c>
      <c r="B432" s="1" t="s">
        <v>478</v>
      </c>
      <c r="C432" s="2">
        <v>83.83</v>
      </c>
      <c r="D432" s="1">
        <v>32</v>
      </c>
      <c r="E432" s="1">
        <v>262</v>
      </c>
      <c r="F432" s="1">
        <v>13</v>
      </c>
      <c r="G432" s="1">
        <v>19</v>
      </c>
      <c r="H432" s="1" t="str">
        <f>IF(Table1[[#This Row],[Order quantities]]&gt;Table1[[#This Row],[Availability]], "High Risk", "Low Risk")</f>
        <v>Low Risk</v>
      </c>
      <c r="I432" s="1">
        <v>6</v>
      </c>
      <c r="J432" s="1" t="s">
        <v>23</v>
      </c>
      <c r="K432" s="4">
        <v>6.7208078980000003</v>
      </c>
      <c r="L432" s="1" t="s">
        <v>37</v>
      </c>
      <c r="M432" s="1" t="s">
        <v>33</v>
      </c>
      <c r="N432" s="1">
        <v>12</v>
      </c>
      <c r="O432" s="1">
        <v>145</v>
      </c>
      <c r="P432" s="1">
        <v>9</v>
      </c>
      <c r="Q432" s="4">
        <v>45.799601639999999</v>
      </c>
      <c r="R432" s="1" t="s">
        <v>26</v>
      </c>
      <c r="S432" s="3">
        <v>0.376366653</v>
      </c>
      <c r="T432" s="1" t="s">
        <v>47</v>
      </c>
      <c r="U432" s="1" t="s">
        <v>39</v>
      </c>
      <c r="V432" s="4">
        <v>528.84045760000004</v>
      </c>
      <c r="W432" s="8">
        <f>Table1[[#This Row],[Revenue]]-Table1[[#This Row],[Shipping costs]]-Table1[[#This Row],[Manufacturing costs]]</f>
        <v>476.32004806200007</v>
      </c>
    </row>
    <row r="433" spans="1:23" ht="14.25" customHeight="1" x14ac:dyDescent="0.25">
      <c r="A433" s="1" t="s">
        <v>29</v>
      </c>
      <c r="B433" s="1" t="s">
        <v>479</v>
      </c>
      <c r="C433" s="2">
        <v>6.04</v>
      </c>
      <c r="D433" s="1">
        <v>7</v>
      </c>
      <c r="E433" s="1">
        <v>107</v>
      </c>
      <c r="F433" s="1">
        <v>7</v>
      </c>
      <c r="G433" s="1">
        <v>66</v>
      </c>
      <c r="H433" s="1" t="str">
        <f>IF(Table1[[#This Row],[Order quantities]]&gt;Table1[[#This Row],[Availability]], "High Risk", "Low Risk")</f>
        <v>High Risk</v>
      </c>
      <c r="I433" s="1">
        <v>4</v>
      </c>
      <c r="J433" s="1" t="s">
        <v>43</v>
      </c>
      <c r="K433" s="4">
        <v>2.3365610349999999</v>
      </c>
      <c r="L433" s="1" t="s">
        <v>41</v>
      </c>
      <c r="M433" s="1" t="s">
        <v>46</v>
      </c>
      <c r="N433" s="1">
        <v>23</v>
      </c>
      <c r="O433" s="1">
        <v>291</v>
      </c>
      <c r="P433" s="1">
        <v>21</v>
      </c>
      <c r="Q433" s="4">
        <v>98.330283589999993</v>
      </c>
      <c r="R433" s="1" t="s">
        <v>26</v>
      </c>
      <c r="S433" s="3">
        <v>1.54410275</v>
      </c>
      <c r="T433" s="1" t="s">
        <v>35</v>
      </c>
      <c r="U433" s="1" t="s">
        <v>39</v>
      </c>
      <c r="V433" s="4">
        <v>749.48368979999998</v>
      </c>
      <c r="W433" s="8">
        <f>Table1[[#This Row],[Revenue]]-Table1[[#This Row],[Shipping costs]]-Table1[[#This Row],[Manufacturing costs]]</f>
        <v>648.81684517499991</v>
      </c>
    </row>
    <row r="434" spans="1:23" ht="14.25" customHeight="1" x14ac:dyDescent="0.25">
      <c r="A434" s="1" t="s">
        <v>114</v>
      </c>
      <c r="B434" s="1" t="s">
        <v>480</v>
      </c>
      <c r="C434" s="2">
        <v>18</v>
      </c>
      <c r="D434" s="1">
        <v>10</v>
      </c>
      <c r="E434" s="1">
        <v>585</v>
      </c>
      <c r="F434" s="1">
        <v>17</v>
      </c>
      <c r="G434" s="1">
        <v>74</v>
      </c>
      <c r="H434" s="1" t="str">
        <f>IF(Table1[[#This Row],[Order quantities]]&gt;Table1[[#This Row],[Availability]], "High Risk", "Low Risk")</f>
        <v>High Risk</v>
      </c>
      <c r="I434" s="1">
        <v>8</v>
      </c>
      <c r="J434" s="1" t="s">
        <v>31</v>
      </c>
      <c r="K434" s="4">
        <v>6.3682036789999996</v>
      </c>
      <c r="L434" s="1" t="s">
        <v>24</v>
      </c>
      <c r="M434" s="1" t="s">
        <v>62</v>
      </c>
      <c r="N434" s="1">
        <v>13</v>
      </c>
      <c r="O434" s="1">
        <v>619</v>
      </c>
      <c r="P434" s="1">
        <v>19</v>
      </c>
      <c r="Q434" s="4">
        <v>22.12725386</v>
      </c>
      <c r="R434" s="1" t="s">
        <v>51</v>
      </c>
      <c r="S434" s="3">
        <v>0.10887896599999999</v>
      </c>
      <c r="T434" s="1" t="s">
        <v>35</v>
      </c>
      <c r="U434" s="1" t="s">
        <v>39</v>
      </c>
      <c r="V434" s="4">
        <v>167.19548019999999</v>
      </c>
      <c r="W434" s="8">
        <f>Table1[[#This Row],[Revenue]]-Table1[[#This Row],[Shipping costs]]-Table1[[#This Row],[Manufacturing costs]]</f>
        <v>138.70002266099999</v>
      </c>
    </row>
    <row r="435" spans="1:23" ht="14.25" customHeight="1" x14ac:dyDescent="0.25">
      <c r="A435" s="1" t="s">
        <v>29</v>
      </c>
      <c r="B435" s="1" t="s">
        <v>481</v>
      </c>
      <c r="C435" s="2">
        <v>90.5</v>
      </c>
      <c r="D435" s="1">
        <v>85</v>
      </c>
      <c r="E435" s="1">
        <v>38</v>
      </c>
      <c r="F435" s="1">
        <v>21</v>
      </c>
      <c r="G435" s="1">
        <v>61</v>
      </c>
      <c r="H435" s="1" t="str">
        <f>IF(Table1[[#This Row],[Order quantities]]&gt;Table1[[#This Row],[Availability]], "High Risk", "Low Risk")</f>
        <v>Low Risk</v>
      </c>
      <c r="I435" s="1">
        <v>4</v>
      </c>
      <c r="J435" s="1" t="s">
        <v>31</v>
      </c>
      <c r="K435" s="4">
        <v>8.329455286</v>
      </c>
      <c r="L435" s="1" t="s">
        <v>38</v>
      </c>
      <c r="M435" s="1" t="s">
        <v>49</v>
      </c>
      <c r="N435" s="1">
        <v>5</v>
      </c>
      <c r="O435" s="1">
        <v>478</v>
      </c>
      <c r="P435" s="1">
        <v>4</v>
      </c>
      <c r="Q435" s="4">
        <v>38.332455299999999</v>
      </c>
      <c r="R435" s="1" t="s">
        <v>51</v>
      </c>
      <c r="S435" s="3">
        <v>1.1967086220000001</v>
      </c>
      <c r="T435" s="1" t="s">
        <v>35</v>
      </c>
      <c r="U435" s="1" t="s">
        <v>39</v>
      </c>
      <c r="V435" s="4">
        <v>922.9963328</v>
      </c>
      <c r="W435" s="8">
        <f>Table1[[#This Row],[Revenue]]-Table1[[#This Row],[Shipping costs]]-Table1[[#This Row],[Manufacturing costs]]</f>
        <v>876.33442221400003</v>
      </c>
    </row>
    <row r="436" spans="1:23" ht="14.25" customHeight="1" x14ac:dyDescent="0.25">
      <c r="A436" s="1" t="s">
        <v>21</v>
      </c>
      <c r="B436" s="1" t="s">
        <v>482</v>
      </c>
      <c r="C436" s="2">
        <v>88.02</v>
      </c>
      <c r="D436" s="1">
        <v>50</v>
      </c>
      <c r="E436" s="1">
        <v>908</v>
      </c>
      <c r="F436" s="1">
        <v>23</v>
      </c>
      <c r="G436" s="1">
        <v>43</v>
      </c>
      <c r="H436" s="1" t="str">
        <f>IF(Table1[[#This Row],[Order quantities]]&gt;Table1[[#This Row],[Availability]], "High Risk", "Low Risk")</f>
        <v>Low Risk</v>
      </c>
      <c r="I436" s="1">
        <v>2</v>
      </c>
      <c r="J436" s="1" t="s">
        <v>31</v>
      </c>
      <c r="K436" s="4">
        <v>4.4391114500000004</v>
      </c>
      <c r="L436" s="1" t="s">
        <v>41</v>
      </c>
      <c r="M436" s="1" t="s">
        <v>46</v>
      </c>
      <c r="N436" s="1">
        <v>4</v>
      </c>
      <c r="O436" s="1">
        <v>887</v>
      </c>
      <c r="P436" s="1">
        <v>28</v>
      </c>
      <c r="Q436" s="4">
        <v>53.69478763</v>
      </c>
      <c r="R436" s="1" t="s">
        <v>34</v>
      </c>
      <c r="S436" s="3">
        <v>1.7681612920000001</v>
      </c>
      <c r="T436" s="1" t="s">
        <v>47</v>
      </c>
      <c r="U436" s="1" t="s">
        <v>53</v>
      </c>
      <c r="V436" s="4">
        <v>118.5790956</v>
      </c>
      <c r="W436" s="8">
        <f>Table1[[#This Row],[Revenue]]-Table1[[#This Row],[Shipping costs]]-Table1[[#This Row],[Manufacturing costs]]</f>
        <v>60.445196520000003</v>
      </c>
    </row>
    <row r="437" spans="1:23" ht="14.25" customHeight="1" x14ac:dyDescent="0.25">
      <c r="A437" s="1" t="s">
        <v>21</v>
      </c>
      <c r="B437" s="1" t="s">
        <v>483</v>
      </c>
      <c r="C437" s="2">
        <v>61.75</v>
      </c>
      <c r="D437" s="1">
        <v>87</v>
      </c>
      <c r="E437" s="1">
        <v>158</v>
      </c>
      <c r="F437" s="1">
        <v>15</v>
      </c>
      <c r="G437" s="1">
        <v>25</v>
      </c>
      <c r="H437" s="1" t="str">
        <f>IF(Table1[[#This Row],[Order quantities]]&gt;Table1[[#This Row],[Availability]], "High Risk", "Low Risk")</f>
        <v>Low Risk</v>
      </c>
      <c r="I437" s="1">
        <v>3</v>
      </c>
      <c r="J437" s="1" t="s">
        <v>43</v>
      </c>
      <c r="K437" s="4">
        <v>2.1904184359999999</v>
      </c>
      <c r="L437" s="1" t="s">
        <v>41</v>
      </c>
      <c r="M437" s="1" t="s">
        <v>46</v>
      </c>
      <c r="N437" s="1">
        <v>28</v>
      </c>
      <c r="O437" s="1">
        <v>790</v>
      </c>
      <c r="P437" s="1">
        <v>8</v>
      </c>
      <c r="Q437" s="4">
        <v>53.019959059999998</v>
      </c>
      <c r="R437" s="1" t="s">
        <v>51</v>
      </c>
      <c r="S437" s="3">
        <v>4.9558322309999996</v>
      </c>
      <c r="T437" s="1" t="s">
        <v>35</v>
      </c>
      <c r="U437" s="1" t="s">
        <v>28</v>
      </c>
      <c r="V437" s="4">
        <v>966.11512010000001</v>
      </c>
      <c r="W437" s="8">
        <f>Table1[[#This Row],[Revenue]]-Table1[[#This Row],[Shipping costs]]-Table1[[#This Row],[Manufacturing costs]]</f>
        <v>910.90474260400003</v>
      </c>
    </row>
    <row r="438" spans="1:23" ht="14.25" customHeight="1" x14ac:dyDescent="0.25">
      <c r="A438" s="1" t="s">
        <v>29</v>
      </c>
      <c r="B438" s="1" t="s">
        <v>484</v>
      </c>
      <c r="C438" s="2">
        <v>62.05</v>
      </c>
      <c r="D438" s="1">
        <v>40</v>
      </c>
      <c r="E438" s="1">
        <v>582</v>
      </c>
      <c r="F438" s="1">
        <v>20</v>
      </c>
      <c r="G438" s="1">
        <v>20</v>
      </c>
      <c r="H438" s="1" t="str">
        <f>IF(Table1[[#This Row],[Order quantities]]&gt;Table1[[#This Row],[Availability]], "High Risk", "Low Risk")</f>
        <v>Low Risk</v>
      </c>
      <c r="I438" s="1">
        <v>6</v>
      </c>
      <c r="J438" s="1" t="s">
        <v>31</v>
      </c>
      <c r="K438" s="4">
        <v>2.7701937760000002</v>
      </c>
      <c r="L438" s="1" t="s">
        <v>44</v>
      </c>
      <c r="M438" s="1" t="s">
        <v>49</v>
      </c>
      <c r="N438" s="1">
        <v>14</v>
      </c>
      <c r="O438" s="1">
        <v>433</v>
      </c>
      <c r="P438" s="1">
        <v>13</v>
      </c>
      <c r="Q438" s="4">
        <v>52.422983600000002</v>
      </c>
      <c r="R438" s="1" t="s">
        <v>26</v>
      </c>
      <c r="S438" s="3">
        <v>2.66535381</v>
      </c>
      <c r="T438" s="1" t="s">
        <v>47</v>
      </c>
      <c r="U438" s="1" t="s">
        <v>37</v>
      </c>
      <c r="V438" s="4">
        <v>516.12004079999997</v>
      </c>
      <c r="W438" s="8">
        <f>Table1[[#This Row],[Revenue]]-Table1[[#This Row],[Shipping costs]]-Table1[[#This Row],[Manufacturing costs]]</f>
        <v>460.92686342399992</v>
      </c>
    </row>
    <row r="439" spans="1:23" ht="14.25" customHeight="1" x14ac:dyDescent="0.25">
      <c r="A439" s="1" t="s">
        <v>29</v>
      </c>
      <c r="B439" s="1" t="s">
        <v>485</v>
      </c>
      <c r="C439" s="2">
        <v>68.180000000000007</v>
      </c>
      <c r="D439" s="1">
        <v>16</v>
      </c>
      <c r="E439" s="1">
        <v>958</v>
      </c>
      <c r="F439" s="1">
        <v>15</v>
      </c>
      <c r="G439" s="1">
        <v>48</v>
      </c>
      <c r="H439" s="1" t="str">
        <f>IF(Table1[[#This Row],[Order quantities]]&gt;Table1[[#This Row],[Availability]], "High Risk", "Low Risk")</f>
        <v>High Risk</v>
      </c>
      <c r="I439" s="1">
        <v>8</v>
      </c>
      <c r="J439" s="1" t="s">
        <v>43</v>
      </c>
      <c r="K439" s="4">
        <v>3.137349747</v>
      </c>
      <c r="L439" s="1" t="s">
        <v>32</v>
      </c>
      <c r="M439" s="1" t="s">
        <v>62</v>
      </c>
      <c r="N439" s="1">
        <v>8</v>
      </c>
      <c r="O439" s="1">
        <v>138</v>
      </c>
      <c r="P439" s="1">
        <v>4</v>
      </c>
      <c r="Q439" s="4">
        <v>25.820543430000001</v>
      </c>
      <c r="R439" s="1" t="s">
        <v>26</v>
      </c>
      <c r="S439" s="3">
        <v>1.1030983430000001</v>
      </c>
      <c r="T439" s="1" t="s">
        <v>35</v>
      </c>
      <c r="U439" s="1" t="s">
        <v>39</v>
      </c>
      <c r="V439" s="4">
        <v>471.4029496</v>
      </c>
      <c r="W439" s="8">
        <f>Table1[[#This Row],[Revenue]]-Table1[[#This Row],[Shipping costs]]-Table1[[#This Row],[Manufacturing costs]]</f>
        <v>442.44505642300004</v>
      </c>
    </row>
    <row r="440" spans="1:23" ht="14.25" customHeight="1" x14ac:dyDescent="0.25">
      <c r="A440" s="1" t="s">
        <v>21</v>
      </c>
      <c r="B440" s="1" t="s">
        <v>486</v>
      </c>
      <c r="C440" s="2">
        <v>21.66</v>
      </c>
      <c r="D440" s="1">
        <v>75</v>
      </c>
      <c r="E440" s="1">
        <v>311</v>
      </c>
      <c r="F440" s="1">
        <v>1</v>
      </c>
      <c r="G440" s="1">
        <v>83</v>
      </c>
      <c r="H440" s="1" t="str">
        <f>IF(Table1[[#This Row],[Order quantities]]&gt;Table1[[#This Row],[Availability]], "High Risk", "Low Risk")</f>
        <v>High Risk</v>
      </c>
      <c r="I440" s="1">
        <v>8</v>
      </c>
      <c r="J440" s="1" t="s">
        <v>43</v>
      </c>
      <c r="K440" s="4">
        <v>3.699078337</v>
      </c>
      <c r="L440" s="1" t="s">
        <v>44</v>
      </c>
      <c r="M440" s="1" t="s">
        <v>33</v>
      </c>
      <c r="N440" s="1">
        <v>9</v>
      </c>
      <c r="O440" s="1">
        <v>392</v>
      </c>
      <c r="P440" s="1">
        <v>9</v>
      </c>
      <c r="Q440" s="4">
        <v>23.043927440000001</v>
      </c>
      <c r="R440" s="1" t="s">
        <v>51</v>
      </c>
      <c r="S440" s="3">
        <v>1.7406098889999999</v>
      </c>
      <c r="T440" s="1" t="s">
        <v>27</v>
      </c>
      <c r="U440" s="1" t="s">
        <v>39</v>
      </c>
      <c r="V440" s="4">
        <v>330.7996157</v>
      </c>
      <c r="W440" s="8">
        <f>Table1[[#This Row],[Revenue]]-Table1[[#This Row],[Shipping costs]]-Table1[[#This Row],[Manufacturing costs]]</f>
        <v>304.056609923</v>
      </c>
    </row>
    <row r="441" spans="1:23" ht="14.25" customHeight="1" x14ac:dyDescent="0.25">
      <c r="A441" s="1" t="s">
        <v>29</v>
      </c>
      <c r="B441" s="1" t="s">
        <v>487</v>
      </c>
      <c r="C441" s="2">
        <v>91.87</v>
      </c>
      <c r="D441" s="1">
        <v>45</v>
      </c>
      <c r="E441" s="1">
        <v>240</v>
      </c>
      <c r="F441" s="1">
        <v>25</v>
      </c>
      <c r="G441" s="1">
        <v>87</v>
      </c>
      <c r="H441" s="1" t="str">
        <f>IF(Table1[[#This Row],[Order quantities]]&gt;Table1[[#This Row],[Availability]], "High Risk", "Low Risk")</f>
        <v>High Risk</v>
      </c>
      <c r="I441" s="1">
        <v>9</v>
      </c>
      <c r="J441" s="1" t="s">
        <v>43</v>
      </c>
      <c r="K441" s="4">
        <v>6.7851556349999997</v>
      </c>
      <c r="L441" s="1" t="s">
        <v>32</v>
      </c>
      <c r="M441" s="1" t="s">
        <v>46</v>
      </c>
      <c r="N441" s="1">
        <v>25</v>
      </c>
      <c r="O441" s="1">
        <v>789</v>
      </c>
      <c r="P441" s="1">
        <v>9</v>
      </c>
      <c r="Q441" s="4">
        <v>32.929082770000001</v>
      </c>
      <c r="R441" s="1" t="s">
        <v>34</v>
      </c>
      <c r="S441" s="3">
        <v>1.7185076690000001</v>
      </c>
      <c r="T441" s="1" t="s">
        <v>47</v>
      </c>
      <c r="U441" s="1" t="s">
        <v>37</v>
      </c>
      <c r="V441" s="4">
        <v>109.06402129999999</v>
      </c>
      <c r="W441" s="8">
        <f>Table1[[#This Row],[Revenue]]-Table1[[#This Row],[Shipping costs]]-Table1[[#This Row],[Manufacturing costs]]</f>
        <v>69.349782895000004</v>
      </c>
    </row>
    <row r="442" spans="1:23" ht="14.25" customHeight="1" x14ac:dyDescent="0.25">
      <c r="A442" s="1" t="s">
        <v>21</v>
      </c>
      <c r="B442" s="1" t="s">
        <v>488</v>
      </c>
      <c r="C442" s="2">
        <v>44.78</v>
      </c>
      <c r="D442" s="1">
        <v>31</v>
      </c>
      <c r="E442" s="1">
        <v>937</v>
      </c>
      <c r="F442" s="1">
        <v>14</v>
      </c>
      <c r="G442" s="1">
        <v>24</v>
      </c>
      <c r="H442" s="1" t="str">
        <f>IF(Table1[[#This Row],[Order quantities]]&gt;Table1[[#This Row],[Availability]], "High Risk", "Low Risk")</f>
        <v>Low Risk</v>
      </c>
      <c r="I442" s="1">
        <v>7</v>
      </c>
      <c r="J442" s="1" t="s">
        <v>43</v>
      </c>
      <c r="K442" s="4">
        <v>6.4085093610000001</v>
      </c>
      <c r="L442" s="1" t="s">
        <v>44</v>
      </c>
      <c r="M442" s="1" t="s">
        <v>62</v>
      </c>
      <c r="N442" s="1">
        <v>19</v>
      </c>
      <c r="O442" s="1">
        <v>261</v>
      </c>
      <c r="P442" s="1">
        <v>22</v>
      </c>
      <c r="Q442" s="4">
        <v>92.307353840000005</v>
      </c>
      <c r="R442" s="1" t="s">
        <v>51</v>
      </c>
      <c r="S442" s="3">
        <v>0.196656158</v>
      </c>
      <c r="T442" s="1" t="s">
        <v>47</v>
      </c>
      <c r="U442" s="1" t="s">
        <v>53</v>
      </c>
      <c r="V442" s="4">
        <v>347.311238</v>
      </c>
      <c r="W442" s="8">
        <f>Table1[[#This Row],[Revenue]]-Table1[[#This Row],[Shipping costs]]-Table1[[#This Row],[Manufacturing costs]]</f>
        <v>248.59537479899996</v>
      </c>
    </row>
    <row r="443" spans="1:23" ht="14.25" customHeight="1" x14ac:dyDescent="0.25">
      <c r="A443" s="1" t="s">
        <v>29</v>
      </c>
      <c r="B443" s="1" t="s">
        <v>489</v>
      </c>
      <c r="C443" s="2">
        <v>41.4</v>
      </c>
      <c r="D443" s="1">
        <v>78</v>
      </c>
      <c r="E443" s="1">
        <v>444</v>
      </c>
      <c r="F443" s="1">
        <v>5</v>
      </c>
      <c r="G443" s="1">
        <v>11</v>
      </c>
      <c r="H443" s="1" t="str">
        <f>IF(Table1[[#This Row],[Order quantities]]&gt;Table1[[#This Row],[Availability]], "High Risk", "Low Risk")</f>
        <v>Low Risk</v>
      </c>
      <c r="I443" s="1">
        <v>2</v>
      </c>
      <c r="J443" s="1" t="s">
        <v>23</v>
      </c>
      <c r="K443" s="4">
        <v>7.2647187539999996</v>
      </c>
      <c r="L443" s="1" t="s">
        <v>41</v>
      </c>
      <c r="M443" s="1" t="s">
        <v>49</v>
      </c>
      <c r="N443" s="1">
        <v>3</v>
      </c>
      <c r="O443" s="1">
        <v>430</v>
      </c>
      <c r="P443" s="1">
        <v>18</v>
      </c>
      <c r="Q443" s="4">
        <v>20.174767110000001</v>
      </c>
      <c r="R443" s="1" t="s">
        <v>34</v>
      </c>
      <c r="S443" s="3">
        <v>0.76239696499999998</v>
      </c>
      <c r="T443" s="1" t="s">
        <v>27</v>
      </c>
      <c r="U443" s="1" t="s">
        <v>28</v>
      </c>
      <c r="V443" s="4">
        <v>198.45993290000001</v>
      </c>
      <c r="W443" s="8">
        <f>Table1[[#This Row],[Revenue]]-Table1[[#This Row],[Shipping costs]]-Table1[[#This Row],[Manufacturing costs]]</f>
        <v>171.02044703600001</v>
      </c>
    </row>
    <row r="444" spans="1:23" ht="14.25" customHeight="1" x14ac:dyDescent="0.25">
      <c r="A444" s="1" t="s">
        <v>21</v>
      </c>
      <c r="B444" s="1" t="s">
        <v>490</v>
      </c>
      <c r="C444" s="2">
        <v>54.3</v>
      </c>
      <c r="D444" s="1">
        <v>79</v>
      </c>
      <c r="E444" s="1">
        <v>297</v>
      </c>
      <c r="F444" s="1">
        <v>11</v>
      </c>
      <c r="G444" s="1">
        <v>98</v>
      </c>
      <c r="H444" s="1" t="str">
        <f>IF(Table1[[#This Row],[Order quantities]]&gt;Table1[[#This Row],[Availability]], "High Risk", "Low Risk")</f>
        <v>High Risk</v>
      </c>
      <c r="I444" s="1">
        <v>8</v>
      </c>
      <c r="J444" s="1" t="s">
        <v>31</v>
      </c>
      <c r="K444" s="4">
        <v>4.2625178610000001</v>
      </c>
      <c r="L444" s="1" t="s">
        <v>32</v>
      </c>
      <c r="M444" s="1" t="s">
        <v>33</v>
      </c>
      <c r="N444" s="1">
        <v>5</v>
      </c>
      <c r="O444" s="1">
        <v>985</v>
      </c>
      <c r="P444" s="1">
        <v>12</v>
      </c>
      <c r="Q444" s="4">
        <v>78.168259300000003</v>
      </c>
      <c r="R444" s="1" t="s">
        <v>26</v>
      </c>
      <c r="S444" s="3">
        <v>3.5064626529999998</v>
      </c>
      <c r="T444" s="1" t="s">
        <v>35</v>
      </c>
      <c r="U444" s="1" t="s">
        <v>28</v>
      </c>
      <c r="V444" s="4">
        <v>693.83875839999996</v>
      </c>
      <c r="W444" s="8">
        <f>Table1[[#This Row],[Revenue]]-Table1[[#This Row],[Shipping costs]]-Table1[[#This Row],[Manufacturing costs]]</f>
        <v>611.40798123899992</v>
      </c>
    </row>
    <row r="445" spans="1:23" ht="14.25" customHeight="1" x14ac:dyDescent="0.25">
      <c r="A445" s="1" t="s">
        <v>21</v>
      </c>
      <c r="B445" s="1" t="s">
        <v>491</v>
      </c>
      <c r="C445" s="2">
        <v>9.4600000000000009</v>
      </c>
      <c r="D445" s="1">
        <v>53</v>
      </c>
      <c r="E445" s="1">
        <v>951</v>
      </c>
      <c r="F445" s="1">
        <v>16</v>
      </c>
      <c r="G445" s="1">
        <v>55</v>
      </c>
      <c r="H445" s="1" t="str">
        <f>IF(Table1[[#This Row],[Order quantities]]&gt;Table1[[#This Row],[Availability]], "High Risk", "Low Risk")</f>
        <v>High Risk</v>
      </c>
      <c r="I445" s="1">
        <v>7</v>
      </c>
      <c r="J445" s="1" t="s">
        <v>43</v>
      </c>
      <c r="K445" s="4">
        <v>8.4159788669999998</v>
      </c>
      <c r="L445" s="1" t="s">
        <v>41</v>
      </c>
      <c r="M445" s="1" t="s">
        <v>33</v>
      </c>
      <c r="N445" s="1">
        <v>21</v>
      </c>
      <c r="O445" s="1">
        <v>203</v>
      </c>
      <c r="P445" s="1">
        <v>10</v>
      </c>
      <c r="Q445" s="4">
        <v>78.179355380000004</v>
      </c>
      <c r="R445" s="1" t="s">
        <v>34</v>
      </c>
      <c r="S445" s="3">
        <v>0.68922983400000004</v>
      </c>
      <c r="T445" s="1" t="s">
        <v>27</v>
      </c>
      <c r="U445" s="1" t="s">
        <v>53</v>
      </c>
      <c r="V445" s="4">
        <v>387.16747509999999</v>
      </c>
      <c r="W445" s="8">
        <f>Table1[[#This Row],[Revenue]]-Table1[[#This Row],[Shipping costs]]-Table1[[#This Row],[Manufacturing costs]]</f>
        <v>300.57214085300001</v>
      </c>
    </row>
    <row r="446" spans="1:23" ht="14.25" customHeight="1" x14ac:dyDescent="0.25">
      <c r="A446" s="1" t="s">
        <v>21</v>
      </c>
      <c r="B446" s="1" t="s">
        <v>492</v>
      </c>
      <c r="C446" s="2">
        <v>20.8</v>
      </c>
      <c r="D446" s="1">
        <v>85</v>
      </c>
      <c r="E446" s="1">
        <v>35</v>
      </c>
      <c r="F446" s="1">
        <v>2</v>
      </c>
      <c r="G446" s="1">
        <v>28</v>
      </c>
      <c r="H446" s="1" t="str">
        <f>IF(Table1[[#This Row],[Order quantities]]&gt;Table1[[#This Row],[Availability]], "High Risk", "Low Risk")</f>
        <v>Low Risk</v>
      </c>
      <c r="I446" s="1">
        <v>8</v>
      </c>
      <c r="J446" s="1" t="s">
        <v>31</v>
      </c>
      <c r="K446" s="4">
        <v>2.8367889499999999</v>
      </c>
      <c r="L446" s="1" t="s">
        <v>41</v>
      </c>
      <c r="M446" s="1" t="s">
        <v>46</v>
      </c>
      <c r="N446" s="1">
        <v>26</v>
      </c>
      <c r="O446" s="1">
        <v>260</v>
      </c>
      <c r="P446" s="1">
        <v>11</v>
      </c>
      <c r="Q446" s="4">
        <v>82.879336350000003</v>
      </c>
      <c r="R446" s="1" t="s">
        <v>51</v>
      </c>
      <c r="S446" s="3">
        <v>1.2305979549999999</v>
      </c>
      <c r="T446" s="1" t="s">
        <v>27</v>
      </c>
      <c r="U446" s="1" t="s">
        <v>28</v>
      </c>
      <c r="V446" s="4">
        <v>790.46139559999995</v>
      </c>
      <c r="W446" s="8">
        <f>Table1[[#This Row],[Revenue]]-Table1[[#This Row],[Shipping costs]]-Table1[[#This Row],[Manufacturing costs]]</f>
        <v>704.7452702999999</v>
      </c>
    </row>
    <row r="447" spans="1:23" ht="14.25" customHeight="1" x14ac:dyDescent="0.25">
      <c r="A447" s="1" t="s">
        <v>21</v>
      </c>
      <c r="B447" s="1" t="s">
        <v>493</v>
      </c>
      <c r="C447" s="2">
        <v>75.11</v>
      </c>
      <c r="D447" s="1">
        <v>91</v>
      </c>
      <c r="E447" s="1">
        <v>83</v>
      </c>
      <c r="F447" s="1">
        <v>8</v>
      </c>
      <c r="G447" s="1">
        <v>69</v>
      </c>
      <c r="H447" s="1" t="str">
        <f>IF(Table1[[#This Row],[Order quantities]]&gt;Table1[[#This Row],[Availability]], "High Risk", "Low Risk")</f>
        <v>Low Risk</v>
      </c>
      <c r="I447" s="1">
        <v>3</v>
      </c>
      <c r="J447" s="1" t="s">
        <v>31</v>
      </c>
      <c r="K447" s="4">
        <v>5.2213667279999996</v>
      </c>
      <c r="L447" s="1" t="s">
        <v>44</v>
      </c>
      <c r="M447" s="1" t="s">
        <v>49</v>
      </c>
      <c r="N447" s="1">
        <v>18</v>
      </c>
      <c r="O447" s="1">
        <v>898</v>
      </c>
      <c r="P447" s="1">
        <v>7</v>
      </c>
      <c r="Q447" s="4">
        <v>89.795394009999995</v>
      </c>
      <c r="R447" s="1" t="s">
        <v>26</v>
      </c>
      <c r="S447" s="3">
        <v>1.8186127620000001</v>
      </c>
      <c r="T447" s="1" t="s">
        <v>27</v>
      </c>
      <c r="U447" s="1" t="s">
        <v>39</v>
      </c>
      <c r="V447" s="4">
        <v>286.2245686</v>
      </c>
      <c r="W447" s="8">
        <f>Table1[[#This Row],[Revenue]]-Table1[[#This Row],[Shipping costs]]-Table1[[#This Row],[Manufacturing costs]]</f>
        <v>191.20780786199998</v>
      </c>
    </row>
    <row r="448" spans="1:23" ht="14.25" customHeight="1" x14ac:dyDescent="0.25">
      <c r="A448" s="1" t="s">
        <v>21</v>
      </c>
      <c r="B448" s="1" t="s">
        <v>494</v>
      </c>
      <c r="C448" s="2">
        <v>12.87</v>
      </c>
      <c r="D448" s="1">
        <v>19</v>
      </c>
      <c r="E448" s="1">
        <v>451</v>
      </c>
      <c r="F448" s="1">
        <v>11</v>
      </c>
      <c r="G448" s="1">
        <v>63</v>
      </c>
      <c r="H448" s="1" t="str">
        <f>IF(Table1[[#This Row],[Order quantities]]&gt;Table1[[#This Row],[Availability]], "High Risk", "Low Risk")</f>
        <v>High Risk</v>
      </c>
      <c r="I448" s="1">
        <v>7</v>
      </c>
      <c r="J448" s="1" t="s">
        <v>43</v>
      </c>
      <c r="K448" s="4">
        <v>8.2084484940000007</v>
      </c>
      <c r="L448" s="1" t="s">
        <v>41</v>
      </c>
      <c r="M448" s="1" t="s">
        <v>46</v>
      </c>
      <c r="N448" s="1">
        <v>1</v>
      </c>
      <c r="O448" s="1">
        <v>734</v>
      </c>
      <c r="P448" s="1">
        <v>9</v>
      </c>
      <c r="Q448" s="4">
        <v>33.67325598</v>
      </c>
      <c r="R448" s="1" t="s">
        <v>51</v>
      </c>
      <c r="S448" s="3">
        <v>3.8129012279999999</v>
      </c>
      <c r="T448" s="1" t="s">
        <v>47</v>
      </c>
      <c r="U448" s="1" t="s">
        <v>53</v>
      </c>
      <c r="V448" s="4">
        <v>910.21137169999997</v>
      </c>
      <c r="W448" s="8">
        <f>Table1[[#This Row],[Revenue]]-Table1[[#This Row],[Shipping costs]]-Table1[[#This Row],[Manufacturing costs]]</f>
        <v>868.32966722599997</v>
      </c>
    </row>
    <row r="449" spans="1:23" ht="14.25" customHeight="1" x14ac:dyDescent="0.25">
      <c r="A449" s="1" t="s">
        <v>29</v>
      </c>
      <c r="B449" s="1" t="s">
        <v>495</v>
      </c>
      <c r="C449" s="2">
        <v>62.3</v>
      </c>
      <c r="D449" s="1">
        <v>32</v>
      </c>
      <c r="E449" s="1">
        <v>885</v>
      </c>
      <c r="F449" s="1">
        <v>29</v>
      </c>
      <c r="G449" s="1">
        <v>59</v>
      </c>
      <c r="H449" s="1" t="str">
        <f>IF(Table1[[#This Row],[Order quantities]]&gt;Table1[[#This Row],[Availability]], "High Risk", "Low Risk")</f>
        <v>High Risk</v>
      </c>
      <c r="I449" s="1">
        <v>9</v>
      </c>
      <c r="J449" s="1" t="s">
        <v>43</v>
      </c>
      <c r="K449" s="4">
        <v>2.62142783</v>
      </c>
      <c r="L449" s="1" t="s">
        <v>38</v>
      </c>
      <c r="M449" s="1" t="s">
        <v>25</v>
      </c>
      <c r="N449" s="1">
        <v>8</v>
      </c>
      <c r="O449" s="1">
        <v>153</v>
      </c>
      <c r="P449" s="1">
        <v>6</v>
      </c>
      <c r="Q449" s="4">
        <v>30.210352230000002</v>
      </c>
      <c r="R449" s="1" t="s">
        <v>34</v>
      </c>
      <c r="S449" s="3">
        <v>2.9537647279999999</v>
      </c>
      <c r="T449" s="1" t="s">
        <v>27</v>
      </c>
      <c r="U449" s="1" t="s">
        <v>28</v>
      </c>
      <c r="V449" s="4">
        <v>570.68336360000001</v>
      </c>
      <c r="W449" s="8">
        <f>Table1[[#This Row],[Revenue]]-Table1[[#This Row],[Shipping costs]]-Table1[[#This Row],[Manufacturing costs]]</f>
        <v>537.85158353999998</v>
      </c>
    </row>
    <row r="450" spans="1:23" ht="14.25" customHeight="1" x14ac:dyDescent="0.25">
      <c r="A450" s="1" t="s">
        <v>29</v>
      </c>
      <c r="B450" s="1" t="s">
        <v>496</v>
      </c>
      <c r="C450" s="2">
        <v>28.31</v>
      </c>
      <c r="D450" s="1">
        <v>73</v>
      </c>
      <c r="E450" s="1">
        <v>774</v>
      </c>
      <c r="F450" s="1">
        <v>18</v>
      </c>
      <c r="G450" s="1">
        <v>5</v>
      </c>
      <c r="H450" s="1" t="str">
        <f>IF(Table1[[#This Row],[Order quantities]]&gt;Table1[[#This Row],[Availability]], "High Risk", "Low Risk")</f>
        <v>Low Risk</v>
      </c>
      <c r="I450" s="1">
        <v>3</v>
      </c>
      <c r="J450" s="1" t="s">
        <v>23</v>
      </c>
      <c r="K450" s="4">
        <v>1.9887680240000001</v>
      </c>
      <c r="L450" s="1" t="s">
        <v>24</v>
      </c>
      <c r="M450" s="1" t="s">
        <v>33</v>
      </c>
      <c r="N450" s="1">
        <v>19</v>
      </c>
      <c r="O450" s="1">
        <v>133</v>
      </c>
      <c r="P450" s="1">
        <v>19</v>
      </c>
      <c r="Q450" s="4">
        <v>51.895509990000001</v>
      </c>
      <c r="R450" s="1" t="s">
        <v>34</v>
      </c>
      <c r="S450" s="3">
        <v>3.4760999259999998</v>
      </c>
      <c r="T450" s="1" t="s">
        <v>35</v>
      </c>
      <c r="U450" s="1" t="s">
        <v>39</v>
      </c>
      <c r="V450" s="4">
        <v>203.05557680000001</v>
      </c>
      <c r="W450" s="8">
        <f>Table1[[#This Row],[Revenue]]-Table1[[#This Row],[Shipping costs]]-Table1[[#This Row],[Manufacturing costs]]</f>
        <v>149.17129878600002</v>
      </c>
    </row>
    <row r="451" spans="1:23" ht="14.25" customHeight="1" x14ac:dyDescent="0.25">
      <c r="A451" s="1" t="s">
        <v>29</v>
      </c>
      <c r="B451" s="1" t="s">
        <v>497</v>
      </c>
      <c r="C451" s="2">
        <v>41.98</v>
      </c>
      <c r="D451" s="1">
        <v>39</v>
      </c>
      <c r="E451" s="1">
        <v>821</v>
      </c>
      <c r="F451" s="1">
        <v>3</v>
      </c>
      <c r="G451" s="1">
        <v>51</v>
      </c>
      <c r="H451" s="1" t="str">
        <f>IF(Table1[[#This Row],[Order quantities]]&gt;Table1[[#This Row],[Availability]], "High Risk", "Low Risk")</f>
        <v>High Risk</v>
      </c>
      <c r="I451" s="1">
        <v>6</v>
      </c>
      <c r="J451" s="1" t="s">
        <v>43</v>
      </c>
      <c r="K451" s="4">
        <v>8.9531557090000007</v>
      </c>
      <c r="L451" s="1" t="s">
        <v>44</v>
      </c>
      <c r="M451" s="1" t="s">
        <v>33</v>
      </c>
      <c r="N451" s="1">
        <v>17</v>
      </c>
      <c r="O451" s="1">
        <v>341</v>
      </c>
      <c r="P451" s="1">
        <v>16</v>
      </c>
      <c r="Q451" s="4">
        <v>33.858025189999999</v>
      </c>
      <c r="R451" s="1" t="s">
        <v>26</v>
      </c>
      <c r="S451" s="3">
        <v>2.8783603950000001</v>
      </c>
      <c r="T451" s="1" t="s">
        <v>47</v>
      </c>
      <c r="U451" s="1" t="s">
        <v>28</v>
      </c>
      <c r="V451" s="4">
        <v>460.76071209999998</v>
      </c>
      <c r="W451" s="8">
        <f>Table1[[#This Row],[Revenue]]-Table1[[#This Row],[Shipping costs]]-Table1[[#This Row],[Manufacturing costs]]</f>
        <v>417.94953120100001</v>
      </c>
    </row>
    <row r="452" spans="1:23" ht="14.25" customHeight="1" x14ac:dyDescent="0.25">
      <c r="A452" s="1" t="s">
        <v>29</v>
      </c>
      <c r="B452" s="1" t="s">
        <v>498</v>
      </c>
      <c r="C452" s="2">
        <v>32.43</v>
      </c>
      <c r="D452" s="1">
        <v>31</v>
      </c>
      <c r="E452" s="1">
        <v>384</v>
      </c>
      <c r="F452" s="1">
        <v>30</v>
      </c>
      <c r="G452" s="1">
        <v>21</v>
      </c>
      <c r="H452" s="1" t="str">
        <f>IF(Table1[[#This Row],[Order quantities]]&gt;Table1[[#This Row],[Availability]], "High Risk", "Low Risk")</f>
        <v>Low Risk</v>
      </c>
      <c r="I452" s="1">
        <v>2</v>
      </c>
      <c r="J452" s="1" t="s">
        <v>23</v>
      </c>
      <c r="K452" s="4">
        <v>4.0863669649999999</v>
      </c>
      <c r="L452" s="1" t="s">
        <v>44</v>
      </c>
      <c r="M452" s="1" t="s">
        <v>33</v>
      </c>
      <c r="N452" s="1">
        <v>17</v>
      </c>
      <c r="O452" s="1">
        <v>989</v>
      </c>
      <c r="P452" s="1">
        <v>30</v>
      </c>
      <c r="Q452" s="4">
        <v>76.087899010000001</v>
      </c>
      <c r="R452" s="1" t="s">
        <v>34</v>
      </c>
      <c r="S452" s="3">
        <v>3.4496028839999999</v>
      </c>
      <c r="T452" s="1" t="s">
        <v>47</v>
      </c>
      <c r="U452" s="1" t="s">
        <v>28</v>
      </c>
      <c r="V452" s="4">
        <v>286.08447169999999</v>
      </c>
      <c r="W452" s="8">
        <f>Table1[[#This Row],[Revenue]]-Table1[[#This Row],[Shipping costs]]-Table1[[#This Row],[Manufacturing costs]]</f>
        <v>205.91020572499997</v>
      </c>
    </row>
    <row r="453" spans="1:23" ht="14.25" customHeight="1" x14ac:dyDescent="0.25">
      <c r="A453" s="1" t="s">
        <v>21</v>
      </c>
      <c r="B453" s="1" t="s">
        <v>499</v>
      </c>
      <c r="C453" s="2">
        <v>38.79</v>
      </c>
      <c r="D453" s="1">
        <v>96</v>
      </c>
      <c r="E453" s="1">
        <v>171</v>
      </c>
      <c r="F453" s="1">
        <v>26</v>
      </c>
      <c r="G453" s="1">
        <v>12</v>
      </c>
      <c r="H453" s="1" t="str">
        <f>IF(Table1[[#This Row],[Order quantities]]&gt;Table1[[#This Row],[Availability]], "High Risk", "Low Risk")</f>
        <v>Low Risk</v>
      </c>
      <c r="I453" s="1">
        <v>2</v>
      </c>
      <c r="J453" s="1" t="s">
        <v>31</v>
      </c>
      <c r="K453" s="4">
        <v>7.1548311240000002</v>
      </c>
      <c r="L453" s="1" t="s">
        <v>32</v>
      </c>
      <c r="M453" s="1" t="s">
        <v>62</v>
      </c>
      <c r="N453" s="1">
        <v>11</v>
      </c>
      <c r="O453" s="1">
        <v>212</v>
      </c>
      <c r="P453" s="1">
        <v>15</v>
      </c>
      <c r="Q453" s="4">
        <v>67.234561909999996</v>
      </c>
      <c r="R453" s="1" t="s">
        <v>26</v>
      </c>
      <c r="S453" s="3">
        <v>0.113926553</v>
      </c>
      <c r="T453" s="1" t="s">
        <v>47</v>
      </c>
      <c r="U453" s="1" t="s">
        <v>53</v>
      </c>
      <c r="V453" s="4">
        <v>279.71688360000002</v>
      </c>
      <c r="W453" s="8">
        <f>Table1[[#This Row],[Revenue]]-Table1[[#This Row],[Shipping costs]]-Table1[[#This Row],[Manufacturing costs]]</f>
        <v>205.32749056600002</v>
      </c>
    </row>
    <row r="454" spans="1:23" ht="14.25" customHeight="1" x14ac:dyDescent="0.25">
      <c r="A454" s="1" t="s">
        <v>21</v>
      </c>
      <c r="B454" s="1" t="s">
        <v>500</v>
      </c>
      <c r="C454" s="2">
        <v>73.31</v>
      </c>
      <c r="D454" s="1">
        <v>1</v>
      </c>
      <c r="E454" s="1">
        <v>375</v>
      </c>
      <c r="F454" s="1">
        <v>1</v>
      </c>
      <c r="G454" s="1">
        <v>50</v>
      </c>
      <c r="H454" s="1" t="str">
        <f>IF(Table1[[#This Row],[Order quantities]]&gt;Table1[[#This Row],[Availability]], "High Risk", "Low Risk")</f>
        <v>High Risk</v>
      </c>
      <c r="I454" s="1">
        <v>5</v>
      </c>
      <c r="J454" s="1" t="s">
        <v>31</v>
      </c>
      <c r="K454" s="4">
        <v>1.2281374380000001</v>
      </c>
      <c r="L454" s="1" t="s">
        <v>44</v>
      </c>
      <c r="M454" s="1" t="s">
        <v>62</v>
      </c>
      <c r="N454" s="1">
        <v>2</v>
      </c>
      <c r="O454" s="1">
        <v>417</v>
      </c>
      <c r="P454" s="1">
        <v>7</v>
      </c>
      <c r="Q454" s="4">
        <v>88.748891929999999</v>
      </c>
      <c r="R454" s="1" t="s">
        <v>26</v>
      </c>
      <c r="S454" s="3">
        <v>4.661400907</v>
      </c>
      <c r="T454" s="1" t="s">
        <v>47</v>
      </c>
      <c r="U454" s="1" t="s">
        <v>39</v>
      </c>
      <c r="V454" s="4">
        <v>555.73276390000001</v>
      </c>
      <c r="W454" s="8">
        <f>Table1[[#This Row],[Revenue]]-Table1[[#This Row],[Shipping costs]]-Table1[[#This Row],[Manufacturing costs]]</f>
        <v>465.75573453200002</v>
      </c>
    </row>
    <row r="455" spans="1:23" ht="14.25" customHeight="1" x14ac:dyDescent="0.25">
      <c r="A455" s="1" t="s">
        <v>29</v>
      </c>
      <c r="B455" s="1" t="s">
        <v>501</v>
      </c>
      <c r="C455" s="2">
        <v>33.229999999999997</v>
      </c>
      <c r="D455" s="1">
        <v>96</v>
      </c>
      <c r="E455" s="1">
        <v>684</v>
      </c>
      <c r="F455" s="1">
        <v>11</v>
      </c>
      <c r="G455" s="1">
        <v>4</v>
      </c>
      <c r="H455" s="1" t="str">
        <f>IF(Table1[[#This Row],[Order quantities]]&gt;Table1[[#This Row],[Availability]], "High Risk", "Low Risk")</f>
        <v>Low Risk</v>
      </c>
      <c r="I455" s="1">
        <v>5</v>
      </c>
      <c r="J455" s="1" t="s">
        <v>31</v>
      </c>
      <c r="K455" s="4">
        <v>7.210421996</v>
      </c>
      <c r="L455" s="1" t="s">
        <v>32</v>
      </c>
      <c r="M455" s="1" t="s">
        <v>33</v>
      </c>
      <c r="N455" s="1">
        <v>6</v>
      </c>
      <c r="O455" s="1">
        <v>122</v>
      </c>
      <c r="P455" s="1">
        <v>16</v>
      </c>
      <c r="Q455" s="4">
        <v>17.44644731</v>
      </c>
      <c r="R455" s="1" t="s">
        <v>51</v>
      </c>
      <c r="S455" s="3">
        <v>0.64350913099999996</v>
      </c>
      <c r="T455" s="1" t="s">
        <v>35</v>
      </c>
      <c r="U455" s="1" t="s">
        <v>53</v>
      </c>
      <c r="V455" s="4">
        <v>704.70281409999996</v>
      </c>
      <c r="W455" s="8">
        <f>Table1[[#This Row],[Revenue]]-Table1[[#This Row],[Shipping costs]]-Table1[[#This Row],[Manufacturing costs]]</f>
        <v>680.04594479399987</v>
      </c>
    </row>
    <row r="456" spans="1:23" ht="14.25" customHeight="1" x14ac:dyDescent="0.25">
      <c r="A456" s="1" t="s">
        <v>21</v>
      </c>
      <c r="B456" s="1" t="s">
        <v>502</v>
      </c>
      <c r="C456" s="2">
        <v>58.81</v>
      </c>
      <c r="D456" s="1">
        <v>32</v>
      </c>
      <c r="E456" s="1">
        <v>361</v>
      </c>
      <c r="F456" s="1">
        <v>16</v>
      </c>
      <c r="G456" s="1">
        <v>42</v>
      </c>
      <c r="H456" s="1" t="str">
        <f>IF(Table1[[#This Row],[Order quantities]]&gt;Table1[[#This Row],[Availability]], "High Risk", "Low Risk")</f>
        <v>High Risk</v>
      </c>
      <c r="I456" s="1">
        <v>7</v>
      </c>
      <c r="J456" s="1" t="s">
        <v>31</v>
      </c>
      <c r="K456" s="4">
        <v>3.8449118040000001</v>
      </c>
      <c r="L456" s="1" t="s">
        <v>38</v>
      </c>
      <c r="M456" s="1" t="s">
        <v>49</v>
      </c>
      <c r="N456" s="1">
        <v>22</v>
      </c>
      <c r="O456" s="1">
        <v>657</v>
      </c>
      <c r="P456" s="1">
        <v>5</v>
      </c>
      <c r="Q456" s="4">
        <v>92.357500000000002</v>
      </c>
      <c r="R456" s="1" t="s">
        <v>34</v>
      </c>
      <c r="S456" s="3">
        <v>2.09062057</v>
      </c>
      <c r="T456" s="1" t="s">
        <v>35</v>
      </c>
      <c r="U456" s="1" t="s">
        <v>28</v>
      </c>
      <c r="V456" s="4">
        <v>920.45638499999995</v>
      </c>
      <c r="W456" s="8">
        <f>Table1[[#This Row],[Revenue]]-Table1[[#This Row],[Shipping costs]]-Table1[[#This Row],[Manufacturing costs]]</f>
        <v>824.25397319599995</v>
      </c>
    </row>
    <row r="457" spans="1:23" ht="14.25" customHeight="1" x14ac:dyDescent="0.25">
      <c r="A457" s="1" t="s">
        <v>29</v>
      </c>
      <c r="B457" s="1" t="s">
        <v>503</v>
      </c>
      <c r="C457" s="2">
        <v>50.22</v>
      </c>
      <c r="D457" s="1">
        <v>76</v>
      </c>
      <c r="E457" s="1">
        <v>558</v>
      </c>
      <c r="F457" s="1">
        <v>18</v>
      </c>
      <c r="G457" s="1">
        <v>84</v>
      </c>
      <c r="H457" s="1" t="str">
        <f>IF(Table1[[#This Row],[Order quantities]]&gt;Table1[[#This Row],[Availability]], "High Risk", "Low Risk")</f>
        <v>High Risk</v>
      </c>
      <c r="I457" s="1">
        <v>2</v>
      </c>
      <c r="J457" s="1" t="s">
        <v>43</v>
      </c>
      <c r="K457" s="4">
        <v>1.5016676819999999</v>
      </c>
      <c r="L457" s="1" t="s">
        <v>44</v>
      </c>
      <c r="M457" s="1" t="s">
        <v>49</v>
      </c>
      <c r="N457" s="1">
        <v>14</v>
      </c>
      <c r="O457" s="1">
        <v>923</v>
      </c>
      <c r="P457" s="1">
        <v>16</v>
      </c>
      <c r="Q457" s="4">
        <v>36.401376399999997</v>
      </c>
      <c r="R457" s="1" t="s">
        <v>34</v>
      </c>
      <c r="S457" s="3">
        <v>3.8780880139999998</v>
      </c>
      <c r="T457" s="1" t="s">
        <v>35</v>
      </c>
      <c r="U457" s="1" t="s">
        <v>28</v>
      </c>
      <c r="V457" s="4">
        <v>551.94580970000004</v>
      </c>
      <c r="W457" s="8">
        <f>Table1[[#This Row],[Revenue]]-Table1[[#This Row],[Shipping costs]]-Table1[[#This Row],[Manufacturing costs]]</f>
        <v>514.04276561800009</v>
      </c>
    </row>
    <row r="458" spans="1:23" ht="14.25" customHeight="1" x14ac:dyDescent="0.25">
      <c r="A458" s="1" t="s">
        <v>21</v>
      </c>
      <c r="B458" s="1" t="s">
        <v>504</v>
      </c>
      <c r="C458" s="2">
        <v>68.05</v>
      </c>
      <c r="D458" s="1">
        <v>29</v>
      </c>
      <c r="E458" s="1">
        <v>890</v>
      </c>
      <c r="F458" s="1">
        <v>30</v>
      </c>
      <c r="G458" s="1">
        <v>38</v>
      </c>
      <c r="H458" s="1" t="str">
        <f>IF(Table1[[#This Row],[Order quantities]]&gt;Table1[[#This Row],[Availability]], "High Risk", "Low Risk")</f>
        <v>High Risk</v>
      </c>
      <c r="I458" s="1">
        <v>7</v>
      </c>
      <c r="J458" s="1" t="s">
        <v>43</v>
      </c>
      <c r="K458" s="4">
        <v>6.4883148540000004</v>
      </c>
      <c r="L458" s="1" t="s">
        <v>32</v>
      </c>
      <c r="M458" s="1" t="s">
        <v>33</v>
      </c>
      <c r="N458" s="1">
        <v>3</v>
      </c>
      <c r="O458" s="1">
        <v>746</v>
      </c>
      <c r="P458" s="1">
        <v>1</v>
      </c>
      <c r="Q458" s="4">
        <v>54.162491129999999</v>
      </c>
      <c r="R458" s="1" t="s">
        <v>51</v>
      </c>
      <c r="S458" s="3">
        <v>2.2326305180000001</v>
      </c>
      <c r="T458" s="1" t="s">
        <v>35</v>
      </c>
      <c r="U458" s="1" t="s">
        <v>39</v>
      </c>
      <c r="V458" s="4">
        <v>969.25489760000005</v>
      </c>
      <c r="W458" s="8">
        <f>Table1[[#This Row],[Revenue]]-Table1[[#This Row],[Shipping costs]]-Table1[[#This Row],[Manufacturing costs]]</f>
        <v>908.60409161600001</v>
      </c>
    </row>
    <row r="459" spans="1:23" ht="14.25" customHeight="1" x14ac:dyDescent="0.25">
      <c r="A459" s="1" t="s">
        <v>29</v>
      </c>
      <c r="B459" s="1" t="s">
        <v>505</v>
      </c>
      <c r="C459" s="2">
        <v>94</v>
      </c>
      <c r="D459" s="1">
        <v>32</v>
      </c>
      <c r="E459" s="1">
        <v>140</v>
      </c>
      <c r="F459" s="1">
        <v>16</v>
      </c>
      <c r="G459" s="1">
        <v>25</v>
      </c>
      <c r="H459" s="1" t="str">
        <f>IF(Table1[[#This Row],[Order quantities]]&gt;Table1[[#This Row],[Availability]], "High Risk", "Low Risk")</f>
        <v>Low Risk</v>
      </c>
      <c r="I459" s="1">
        <v>5</v>
      </c>
      <c r="J459" s="1" t="s">
        <v>31</v>
      </c>
      <c r="K459" s="4">
        <v>3.1672343449999998</v>
      </c>
      <c r="L459" s="1" t="s">
        <v>24</v>
      </c>
      <c r="M459" s="1" t="s">
        <v>55</v>
      </c>
      <c r="N459" s="1">
        <v>12</v>
      </c>
      <c r="O459" s="1">
        <v>217</v>
      </c>
      <c r="P459" s="1">
        <v>19</v>
      </c>
      <c r="Q459" s="4">
        <v>49.475029239999998</v>
      </c>
      <c r="R459" s="1" t="s">
        <v>26</v>
      </c>
      <c r="S459" s="3">
        <v>4.7395285029999998</v>
      </c>
      <c r="T459" s="1" t="s">
        <v>35</v>
      </c>
      <c r="U459" s="1" t="s">
        <v>53</v>
      </c>
      <c r="V459" s="4">
        <v>947.47136690000002</v>
      </c>
      <c r="W459" s="8">
        <f>Table1[[#This Row],[Revenue]]-Table1[[#This Row],[Shipping costs]]-Table1[[#This Row],[Manufacturing costs]]</f>
        <v>894.829103315</v>
      </c>
    </row>
    <row r="460" spans="1:23" ht="14.25" customHeight="1" x14ac:dyDescent="0.25">
      <c r="A460" s="1" t="s">
        <v>21</v>
      </c>
      <c r="B460" s="1" t="s">
        <v>506</v>
      </c>
      <c r="C460" s="2">
        <v>74.59</v>
      </c>
      <c r="D460" s="1">
        <v>76</v>
      </c>
      <c r="E460" s="1">
        <v>886</v>
      </c>
      <c r="F460" s="1">
        <v>23</v>
      </c>
      <c r="G460" s="1">
        <v>14</v>
      </c>
      <c r="H460" s="1" t="str">
        <f>IF(Table1[[#This Row],[Order quantities]]&gt;Table1[[#This Row],[Availability]], "High Risk", "Low Risk")</f>
        <v>Low Risk</v>
      </c>
      <c r="I460" s="1">
        <v>6</v>
      </c>
      <c r="J460" s="1" t="s">
        <v>23</v>
      </c>
      <c r="K460" s="4">
        <v>4.4812651780000001</v>
      </c>
      <c r="L460" s="1" t="s">
        <v>24</v>
      </c>
      <c r="M460" s="1" t="s">
        <v>33</v>
      </c>
      <c r="N460" s="1">
        <v>4</v>
      </c>
      <c r="O460" s="1">
        <v>800</v>
      </c>
      <c r="P460" s="1">
        <v>5</v>
      </c>
      <c r="Q460" s="4">
        <v>78.428048599999997</v>
      </c>
      <c r="R460" s="1" t="s">
        <v>51</v>
      </c>
      <c r="S460" s="3">
        <v>2.3911858480000001</v>
      </c>
      <c r="T460" s="1" t="s">
        <v>35</v>
      </c>
      <c r="U460" s="1" t="s">
        <v>53</v>
      </c>
      <c r="V460" s="4">
        <v>878.55627700000002</v>
      </c>
      <c r="W460" s="8">
        <f>Table1[[#This Row],[Revenue]]-Table1[[#This Row],[Shipping costs]]-Table1[[#This Row],[Manufacturing costs]]</f>
        <v>795.64696322200007</v>
      </c>
    </row>
    <row r="461" spans="1:23" ht="14.25" customHeight="1" x14ac:dyDescent="0.25">
      <c r="A461" s="1" t="s">
        <v>29</v>
      </c>
      <c r="B461" s="1" t="s">
        <v>507</v>
      </c>
      <c r="C461" s="2">
        <v>25.42</v>
      </c>
      <c r="D461" s="1">
        <v>25</v>
      </c>
      <c r="E461" s="1">
        <v>917</v>
      </c>
      <c r="F461" s="1">
        <v>10</v>
      </c>
      <c r="G461" s="1">
        <v>75</v>
      </c>
      <c r="H461" s="1" t="str">
        <f>IF(Table1[[#This Row],[Order quantities]]&gt;Table1[[#This Row],[Availability]], "High Risk", "Low Risk")</f>
        <v>High Risk</v>
      </c>
      <c r="I461" s="1">
        <v>8</v>
      </c>
      <c r="J461" s="1" t="s">
        <v>23</v>
      </c>
      <c r="K461" s="4">
        <v>1.725227311</v>
      </c>
      <c r="L461" s="1" t="s">
        <v>41</v>
      </c>
      <c r="M461" s="1" t="s">
        <v>46</v>
      </c>
      <c r="N461" s="1">
        <v>12</v>
      </c>
      <c r="O461" s="1">
        <v>742</v>
      </c>
      <c r="P461" s="1">
        <v>7</v>
      </c>
      <c r="Q461" s="4">
        <v>47.829997849999998</v>
      </c>
      <c r="R461" s="1" t="s">
        <v>26</v>
      </c>
      <c r="S461" s="3">
        <v>4.3872030869999996</v>
      </c>
      <c r="T461" s="1" t="s">
        <v>27</v>
      </c>
      <c r="U461" s="1" t="s">
        <v>28</v>
      </c>
      <c r="V461" s="4">
        <v>549.97953849999999</v>
      </c>
      <c r="W461" s="8">
        <f>Table1[[#This Row],[Revenue]]-Table1[[#This Row],[Shipping costs]]-Table1[[#This Row],[Manufacturing costs]]</f>
        <v>500.42431333899998</v>
      </c>
    </row>
    <row r="462" spans="1:23" ht="14.25" customHeight="1" x14ac:dyDescent="0.25">
      <c r="A462" s="1" t="s">
        <v>29</v>
      </c>
      <c r="B462" s="1" t="s">
        <v>508</v>
      </c>
      <c r="C462" s="2">
        <v>7.96</v>
      </c>
      <c r="D462" s="1">
        <v>21</v>
      </c>
      <c r="E462" s="1">
        <v>117</v>
      </c>
      <c r="F462" s="1">
        <v>18</v>
      </c>
      <c r="G462" s="1">
        <v>32</v>
      </c>
      <c r="H462" s="1" t="str">
        <f>IF(Table1[[#This Row],[Order quantities]]&gt;Table1[[#This Row],[Availability]], "High Risk", "Low Risk")</f>
        <v>High Risk</v>
      </c>
      <c r="I462" s="1">
        <v>4</v>
      </c>
      <c r="J462" s="1" t="s">
        <v>31</v>
      </c>
      <c r="K462" s="4">
        <v>2.3244692599999999</v>
      </c>
      <c r="L462" s="1" t="s">
        <v>38</v>
      </c>
      <c r="M462" s="1" t="s">
        <v>62</v>
      </c>
      <c r="N462" s="1">
        <v>13</v>
      </c>
      <c r="O462" s="1">
        <v>311</v>
      </c>
      <c r="P462" s="1">
        <v>19</v>
      </c>
      <c r="Q462" s="4">
        <v>94.919783109999997</v>
      </c>
      <c r="R462" s="1" t="s">
        <v>26</v>
      </c>
      <c r="S462" s="3">
        <v>4.0730577549999998</v>
      </c>
      <c r="T462" s="1" t="s">
        <v>47</v>
      </c>
      <c r="U462" s="1" t="s">
        <v>39</v>
      </c>
      <c r="V462" s="4">
        <v>226.81354930000001</v>
      </c>
      <c r="W462" s="8">
        <f>Table1[[#This Row],[Revenue]]-Table1[[#This Row],[Shipping costs]]-Table1[[#This Row],[Manufacturing costs]]</f>
        <v>129.56929693000001</v>
      </c>
    </row>
    <row r="463" spans="1:23" ht="14.25" customHeight="1" x14ac:dyDescent="0.25">
      <c r="A463" s="1" t="s">
        <v>114</v>
      </c>
      <c r="B463" s="1" t="s">
        <v>509</v>
      </c>
      <c r="C463" s="2">
        <v>29.92</v>
      </c>
      <c r="D463" s="1">
        <v>65</v>
      </c>
      <c r="E463" s="1">
        <v>276</v>
      </c>
      <c r="F463" s="1">
        <v>6</v>
      </c>
      <c r="G463" s="1">
        <v>11</v>
      </c>
      <c r="H463" s="1" t="str">
        <f>IF(Table1[[#This Row],[Order quantities]]&gt;Table1[[#This Row],[Availability]], "High Risk", "Low Risk")</f>
        <v>Low Risk</v>
      </c>
      <c r="I463" s="1">
        <v>7</v>
      </c>
      <c r="J463" s="1" t="s">
        <v>31</v>
      </c>
      <c r="K463" s="4">
        <v>3.6817951189999998</v>
      </c>
      <c r="L463" s="1" t="s">
        <v>44</v>
      </c>
      <c r="M463" s="1" t="s">
        <v>46</v>
      </c>
      <c r="N463" s="1">
        <v>2</v>
      </c>
      <c r="O463" s="1">
        <v>517</v>
      </c>
      <c r="P463" s="1">
        <v>22</v>
      </c>
      <c r="Q463" s="4">
        <v>91.228049440000007</v>
      </c>
      <c r="R463" s="1" t="s">
        <v>51</v>
      </c>
      <c r="S463" s="3">
        <v>4.906832884</v>
      </c>
      <c r="T463" s="1" t="s">
        <v>47</v>
      </c>
      <c r="U463" s="1" t="s">
        <v>28</v>
      </c>
      <c r="V463" s="4">
        <v>296.11402279999999</v>
      </c>
      <c r="W463" s="8">
        <f>Table1[[#This Row],[Revenue]]-Table1[[#This Row],[Shipping costs]]-Table1[[#This Row],[Manufacturing costs]]</f>
        <v>201.20417824099997</v>
      </c>
    </row>
    <row r="464" spans="1:23" ht="14.25" customHeight="1" x14ac:dyDescent="0.25">
      <c r="A464" s="1" t="s">
        <v>21</v>
      </c>
      <c r="B464" s="1" t="s">
        <v>510</v>
      </c>
      <c r="C464" s="2">
        <v>61.53</v>
      </c>
      <c r="D464" s="1">
        <v>37</v>
      </c>
      <c r="E464" s="1">
        <v>725</v>
      </c>
      <c r="F464" s="1">
        <v>19</v>
      </c>
      <c r="G464" s="1">
        <v>61</v>
      </c>
      <c r="H464" s="1" t="str">
        <f>IF(Table1[[#This Row],[Order quantities]]&gt;Table1[[#This Row],[Availability]], "High Risk", "Low Risk")</f>
        <v>High Risk</v>
      </c>
      <c r="I464" s="1">
        <v>6</v>
      </c>
      <c r="J464" s="1" t="s">
        <v>31</v>
      </c>
      <c r="K464" s="4">
        <v>1.8078355049999999</v>
      </c>
      <c r="L464" s="1" t="s">
        <v>44</v>
      </c>
      <c r="M464" s="1" t="s">
        <v>62</v>
      </c>
      <c r="N464" s="1">
        <v>2</v>
      </c>
      <c r="O464" s="1">
        <v>212</v>
      </c>
      <c r="P464" s="1">
        <v>5</v>
      </c>
      <c r="Q464" s="4">
        <v>88.494503679999994</v>
      </c>
      <c r="R464" s="1" t="s">
        <v>51</v>
      </c>
      <c r="S464" s="3">
        <v>4.6400841259999996</v>
      </c>
      <c r="T464" s="1" t="s">
        <v>35</v>
      </c>
      <c r="U464" s="1" t="s">
        <v>53</v>
      </c>
      <c r="V464" s="4">
        <v>682.90300239999999</v>
      </c>
      <c r="W464" s="8">
        <f>Table1[[#This Row],[Revenue]]-Table1[[#This Row],[Shipping costs]]-Table1[[#This Row],[Manufacturing costs]]</f>
        <v>592.60066321500005</v>
      </c>
    </row>
    <row r="465" spans="1:23" ht="14.25" customHeight="1" x14ac:dyDescent="0.25">
      <c r="A465" s="1" t="s">
        <v>29</v>
      </c>
      <c r="B465" s="1" t="s">
        <v>511</v>
      </c>
      <c r="C465" s="2">
        <v>9.89</v>
      </c>
      <c r="D465" s="1">
        <v>89</v>
      </c>
      <c r="E465" s="1">
        <v>219</v>
      </c>
      <c r="F465" s="1">
        <v>4</v>
      </c>
      <c r="G465" s="1">
        <v>18</v>
      </c>
      <c r="H465" s="1" t="str">
        <f>IF(Table1[[#This Row],[Order quantities]]&gt;Table1[[#This Row],[Availability]], "High Risk", "Low Risk")</f>
        <v>Low Risk</v>
      </c>
      <c r="I465" s="1">
        <v>2</v>
      </c>
      <c r="J465" s="1" t="s">
        <v>31</v>
      </c>
      <c r="K465" s="4">
        <v>9.1974363819999994</v>
      </c>
      <c r="L465" s="1" t="s">
        <v>32</v>
      </c>
      <c r="M465" s="1" t="s">
        <v>33</v>
      </c>
      <c r="N465" s="1">
        <v>15</v>
      </c>
      <c r="O465" s="1">
        <v>143</v>
      </c>
      <c r="P465" s="1">
        <v>29</v>
      </c>
      <c r="Q465" s="4">
        <v>16.41324994</v>
      </c>
      <c r="R465" s="1" t="s">
        <v>26</v>
      </c>
      <c r="S465" s="3">
        <v>4.5008067900000004</v>
      </c>
      <c r="T465" s="1" t="s">
        <v>35</v>
      </c>
      <c r="U465" s="1" t="s">
        <v>39</v>
      </c>
      <c r="V465" s="4">
        <v>479.5794823</v>
      </c>
      <c r="W465" s="8">
        <f>Table1[[#This Row],[Revenue]]-Table1[[#This Row],[Shipping costs]]-Table1[[#This Row],[Manufacturing costs]]</f>
        <v>453.968795978</v>
      </c>
    </row>
    <row r="466" spans="1:23" ht="14.25" customHeight="1" x14ac:dyDescent="0.25">
      <c r="A466" s="1" t="s">
        <v>29</v>
      </c>
      <c r="B466" s="1" t="s">
        <v>512</v>
      </c>
      <c r="C466" s="2">
        <v>52.15</v>
      </c>
      <c r="D466" s="1">
        <v>45</v>
      </c>
      <c r="E466" s="1">
        <v>904</v>
      </c>
      <c r="F466" s="1">
        <v>27</v>
      </c>
      <c r="G466" s="1">
        <v>27</v>
      </c>
      <c r="H466" s="1" t="str">
        <f>IF(Table1[[#This Row],[Order quantities]]&gt;Table1[[#This Row],[Availability]], "High Risk", "Low Risk")</f>
        <v>Low Risk</v>
      </c>
      <c r="I466" s="1">
        <v>8</v>
      </c>
      <c r="J466" s="1" t="s">
        <v>31</v>
      </c>
      <c r="K466" s="4">
        <v>1.0544233890000001</v>
      </c>
      <c r="L466" s="1" t="s">
        <v>41</v>
      </c>
      <c r="M466" s="1" t="s">
        <v>49</v>
      </c>
      <c r="N466" s="1">
        <v>23</v>
      </c>
      <c r="O466" s="1">
        <v>227</v>
      </c>
      <c r="P466" s="1">
        <v>17</v>
      </c>
      <c r="Q466" s="4">
        <v>86.883225539999998</v>
      </c>
      <c r="R466" s="1" t="s">
        <v>51</v>
      </c>
      <c r="S466" s="3">
        <v>3.6848612690000002</v>
      </c>
      <c r="T466" s="1" t="s">
        <v>35</v>
      </c>
      <c r="U466" s="1" t="s">
        <v>28</v>
      </c>
      <c r="V466" s="4">
        <v>232.12146859999999</v>
      </c>
      <c r="W466" s="8">
        <f>Table1[[#This Row],[Revenue]]-Table1[[#This Row],[Shipping costs]]-Table1[[#This Row],[Manufacturing costs]]</f>
        <v>144.18381967099998</v>
      </c>
    </row>
    <row r="467" spans="1:23" ht="14.25" customHeight="1" x14ac:dyDescent="0.25">
      <c r="A467" s="1" t="s">
        <v>29</v>
      </c>
      <c r="B467" s="1" t="s">
        <v>513</v>
      </c>
      <c r="C467" s="2">
        <v>61.7</v>
      </c>
      <c r="D467" s="1">
        <v>14</v>
      </c>
      <c r="E467" s="1">
        <v>25</v>
      </c>
      <c r="F467" s="1">
        <v>13</v>
      </c>
      <c r="G467" s="1">
        <v>55</v>
      </c>
      <c r="H467" s="1" t="str">
        <f>IF(Table1[[#This Row],[Order quantities]]&gt;Table1[[#This Row],[Availability]], "High Risk", "Low Risk")</f>
        <v>High Risk</v>
      </c>
      <c r="I467" s="1">
        <v>9</v>
      </c>
      <c r="J467" s="1" t="s">
        <v>43</v>
      </c>
      <c r="K467" s="4">
        <v>5.3547419700000001</v>
      </c>
      <c r="L467" s="1" t="s">
        <v>32</v>
      </c>
      <c r="M467" s="1" t="s">
        <v>33</v>
      </c>
      <c r="N467" s="1">
        <v>29</v>
      </c>
      <c r="O467" s="1">
        <v>975</v>
      </c>
      <c r="P467" s="1">
        <v>26</v>
      </c>
      <c r="Q467" s="4">
        <v>80.347190089999998</v>
      </c>
      <c r="R467" s="1" t="s">
        <v>26</v>
      </c>
      <c r="S467" s="3">
        <v>1.8982909219999999</v>
      </c>
      <c r="T467" s="1" t="s">
        <v>35</v>
      </c>
      <c r="U467" s="1" t="s">
        <v>28</v>
      </c>
      <c r="V467" s="4">
        <v>531.09454029999995</v>
      </c>
      <c r="W467" s="8">
        <f>Table1[[#This Row],[Revenue]]-Table1[[#This Row],[Shipping costs]]-Table1[[#This Row],[Manufacturing costs]]</f>
        <v>445.39260823999996</v>
      </c>
    </row>
    <row r="468" spans="1:23" ht="14.25" customHeight="1" x14ac:dyDescent="0.25">
      <c r="A468" s="1" t="s">
        <v>29</v>
      </c>
      <c r="B468" s="1" t="s">
        <v>514</v>
      </c>
      <c r="C468" s="2">
        <v>36.75</v>
      </c>
      <c r="D468" s="1">
        <v>97</v>
      </c>
      <c r="E468" s="1">
        <v>520</v>
      </c>
      <c r="F468" s="1">
        <v>24</v>
      </c>
      <c r="G468" s="1">
        <v>54</v>
      </c>
      <c r="H468" s="1" t="str">
        <f>IF(Table1[[#This Row],[Order quantities]]&gt;Table1[[#This Row],[Availability]], "High Risk", "Low Risk")</f>
        <v>Low Risk</v>
      </c>
      <c r="I468" s="1">
        <v>5</v>
      </c>
      <c r="J468" s="1" t="s">
        <v>31</v>
      </c>
      <c r="K468" s="4">
        <v>2.1092271230000001</v>
      </c>
      <c r="L468" s="1" t="s">
        <v>32</v>
      </c>
      <c r="M468" s="1" t="s">
        <v>55</v>
      </c>
      <c r="N468" s="1">
        <v>17</v>
      </c>
      <c r="O468" s="1">
        <v>257</v>
      </c>
      <c r="P468" s="1">
        <v>22</v>
      </c>
      <c r="Q468" s="4">
        <v>19.316165229999999</v>
      </c>
      <c r="R468" s="1" t="s">
        <v>26</v>
      </c>
      <c r="S468" s="3">
        <v>0.62001455100000002</v>
      </c>
      <c r="T468" s="1" t="s">
        <v>27</v>
      </c>
      <c r="U468" s="1" t="s">
        <v>39</v>
      </c>
      <c r="V468" s="4">
        <v>115.68749099999999</v>
      </c>
      <c r="W468" s="8">
        <f>Table1[[#This Row],[Revenue]]-Table1[[#This Row],[Shipping costs]]-Table1[[#This Row],[Manufacturing costs]]</f>
        <v>94.262098647000002</v>
      </c>
    </row>
    <row r="469" spans="1:23" ht="14.25" customHeight="1" x14ac:dyDescent="0.25">
      <c r="A469" s="1" t="s">
        <v>29</v>
      </c>
      <c r="B469" s="1" t="s">
        <v>515</v>
      </c>
      <c r="C469" s="2">
        <v>78.239999999999995</v>
      </c>
      <c r="D469" s="1">
        <v>43</v>
      </c>
      <c r="E469" s="1">
        <v>782</v>
      </c>
      <c r="F469" s="1">
        <v>14</v>
      </c>
      <c r="G469" s="1">
        <v>82</v>
      </c>
      <c r="H469" s="1" t="str">
        <f>IF(Table1[[#This Row],[Order quantities]]&gt;Table1[[#This Row],[Availability]], "High Risk", "Low Risk")</f>
        <v>High Risk</v>
      </c>
      <c r="I469" s="1">
        <v>4</v>
      </c>
      <c r="J469" s="1" t="s">
        <v>43</v>
      </c>
      <c r="K469" s="4">
        <v>3.7691118050000001</v>
      </c>
      <c r="L469" s="1" t="s">
        <v>41</v>
      </c>
      <c r="M469" s="1" t="s">
        <v>46</v>
      </c>
      <c r="N469" s="1">
        <v>7</v>
      </c>
      <c r="O469" s="1">
        <v>884</v>
      </c>
      <c r="P469" s="1">
        <v>30</v>
      </c>
      <c r="Q469" s="4">
        <v>19.667289289999999</v>
      </c>
      <c r="R469" s="1" t="s">
        <v>34</v>
      </c>
      <c r="S469" s="3">
        <v>3.4743607559999998</v>
      </c>
      <c r="T469" s="1" t="s">
        <v>27</v>
      </c>
      <c r="U469" s="1" t="s">
        <v>28</v>
      </c>
      <c r="V469" s="4">
        <v>760.5058338</v>
      </c>
      <c r="W469" s="8">
        <f>Table1[[#This Row],[Revenue]]-Table1[[#This Row],[Shipping costs]]-Table1[[#This Row],[Manufacturing costs]]</f>
        <v>737.06943270500005</v>
      </c>
    </row>
    <row r="470" spans="1:23" ht="14.25" customHeight="1" x14ac:dyDescent="0.25">
      <c r="A470" s="1" t="s">
        <v>21</v>
      </c>
      <c r="B470" s="1" t="s">
        <v>516</v>
      </c>
      <c r="C470" s="2">
        <v>15.13</v>
      </c>
      <c r="D470" s="1">
        <v>48</v>
      </c>
      <c r="E470" s="1">
        <v>9</v>
      </c>
      <c r="F470" s="1">
        <v>3</v>
      </c>
      <c r="G470" s="1">
        <v>87</v>
      </c>
      <c r="H470" s="1" t="str">
        <f>IF(Table1[[#This Row],[Order quantities]]&gt;Table1[[#This Row],[Availability]], "High Risk", "Low Risk")</f>
        <v>High Risk</v>
      </c>
      <c r="I470" s="1">
        <v>6</v>
      </c>
      <c r="J470" s="1" t="s">
        <v>37</v>
      </c>
      <c r="K470" s="4">
        <v>9.3345360379999995</v>
      </c>
      <c r="L470" s="1" t="s">
        <v>41</v>
      </c>
      <c r="M470" s="1" t="s">
        <v>55</v>
      </c>
      <c r="N470" s="1">
        <v>30</v>
      </c>
      <c r="O470" s="1">
        <v>926</v>
      </c>
      <c r="P470" s="1">
        <v>8</v>
      </c>
      <c r="Q470" s="4">
        <v>19.104743039999999</v>
      </c>
      <c r="R470" s="1" t="s">
        <v>26</v>
      </c>
      <c r="S470" s="3">
        <v>4.8954049990000001</v>
      </c>
      <c r="T470" s="1" t="s">
        <v>27</v>
      </c>
      <c r="U470" s="1" t="s">
        <v>39</v>
      </c>
      <c r="V470" s="4">
        <v>166.22316499999999</v>
      </c>
      <c r="W470" s="8">
        <f>Table1[[#This Row],[Revenue]]-Table1[[#This Row],[Shipping costs]]-Table1[[#This Row],[Manufacturing costs]]</f>
        <v>137.783885922</v>
      </c>
    </row>
    <row r="471" spans="1:23" ht="14.25" customHeight="1" x14ac:dyDescent="0.25">
      <c r="A471" s="1" t="s">
        <v>29</v>
      </c>
      <c r="B471" s="1" t="s">
        <v>517</v>
      </c>
      <c r="C471" s="2">
        <v>74.180000000000007</v>
      </c>
      <c r="D471" s="1">
        <v>60</v>
      </c>
      <c r="E471" s="1">
        <v>377</v>
      </c>
      <c r="F471" s="1">
        <v>6</v>
      </c>
      <c r="G471" s="1">
        <v>21</v>
      </c>
      <c r="H471" s="1" t="str">
        <f>IF(Table1[[#This Row],[Order quantities]]&gt;Table1[[#This Row],[Availability]], "High Risk", "Low Risk")</f>
        <v>Low Risk</v>
      </c>
      <c r="I471" s="1">
        <v>3</v>
      </c>
      <c r="J471" s="1" t="s">
        <v>23</v>
      </c>
      <c r="K471" s="4">
        <v>9.6924908769999991</v>
      </c>
      <c r="L471" s="1" t="s">
        <v>32</v>
      </c>
      <c r="M471" s="1" t="s">
        <v>33</v>
      </c>
      <c r="N471" s="1">
        <v>14</v>
      </c>
      <c r="O471" s="1">
        <v>966</v>
      </c>
      <c r="P471" s="1">
        <v>29</v>
      </c>
      <c r="Q471" s="4">
        <v>59.377087469999999</v>
      </c>
      <c r="R471" s="1" t="s">
        <v>26</v>
      </c>
      <c r="S471" s="3">
        <v>4.6507739089999998</v>
      </c>
      <c r="T471" s="1" t="s">
        <v>35</v>
      </c>
      <c r="U471" s="1" t="s">
        <v>28</v>
      </c>
      <c r="V471" s="4">
        <v>813.70927689999996</v>
      </c>
      <c r="W471" s="8">
        <f>Table1[[#This Row],[Revenue]]-Table1[[#This Row],[Shipping costs]]-Table1[[#This Row],[Manufacturing costs]]</f>
        <v>744.63969855300002</v>
      </c>
    </row>
    <row r="472" spans="1:23" ht="14.25" customHeight="1" x14ac:dyDescent="0.25">
      <c r="A472" s="1" t="s">
        <v>29</v>
      </c>
      <c r="B472" s="1" t="s">
        <v>518</v>
      </c>
      <c r="C472" s="2">
        <v>52.07</v>
      </c>
      <c r="D472" s="1">
        <v>66</v>
      </c>
      <c r="E472" s="1">
        <v>632</v>
      </c>
      <c r="F472" s="1">
        <v>1</v>
      </c>
      <c r="G472" s="1">
        <v>44</v>
      </c>
      <c r="H472" s="1" t="str">
        <f>IF(Table1[[#This Row],[Order quantities]]&gt;Table1[[#This Row],[Availability]], "High Risk", "Low Risk")</f>
        <v>Low Risk</v>
      </c>
      <c r="I472" s="1">
        <v>1</v>
      </c>
      <c r="J472" s="1" t="s">
        <v>31</v>
      </c>
      <c r="K472" s="4">
        <v>2.8521493929999999</v>
      </c>
      <c r="L472" s="1" t="s">
        <v>44</v>
      </c>
      <c r="M472" s="1" t="s">
        <v>62</v>
      </c>
      <c r="N472" s="1">
        <v>12</v>
      </c>
      <c r="O472" s="1">
        <v>951</v>
      </c>
      <c r="P472" s="1">
        <v>1</v>
      </c>
      <c r="Q472" s="4">
        <v>97.605486229999997</v>
      </c>
      <c r="R472" s="1" t="s">
        <v>51</v>
      </c>
      <c r="S472" s="3">
        <v>4.0410930929999997</v>
      </c>
      <c r="T472" s="1" t="s">
        <v>35</v>
      </c>
      <c r="U472" s="1" t="s">
        <v>28</v>
      </c>
      <c r="V472" s="4">
        <v>219.37948700000001</v>
      </c>
      <c r="W472" s="8">
        <f>Table1[[#This Row],[Revenue]]-Table1[[#This Row],[Shipping costs]]-Table1[[#This Row],[Manufacturing costs]]</f>
        <v>118.92185137700002</v>
      </c>
    </row>
    <row r="473" spans="1:23" ht="14.25" customHeight="1" x14ac:dyDescent="0.25">
      <c r="A473" s="1" t="s">
        <v>21</v>
      </c>
      <c r="B473" s="1" t="s">
        <v>519</v>
      </c>
      <c r="C473" s="2">
        <v>70.400000000000006</v>
      </c>
      <c r="D473" s="1">
        <v>5</v>
      </c>
      <c r="E473" s="1">
        <v>636</v>
      </c>
      <c r="F473" s="1">
        <v>23</v>
      </c>
      <c r="G473" s="1">
        <v>5</v>
      </c>
      <c r="H473" s="1" t="str">
        <f>IF(Table1[[#This Row],[Order quantities]]&gt;Table1[[#This Row],[Availability]], "High Risk", "Low Risk")</f>
        <v>Low Risk</v>
      </c>
      <c r="I473" s="1">
        <v>4</v>
      </c>
      <c r="J473" s="1" t="s">
        <v>43</v>
      </c>
      <c r="K473" s="4">
        <v>7.6740949760000001</v>
      </c>
      <c r="L473" s="1" t="s">
        <v>41</v>
      </c>
      <c r="M473" s="1" t="s">
        <v>46</v>
      </c>
      <c r="N473" s="1">
        <v>30</v>
      </c>
      <c r="O473" s="1">
        <v>611</v>
      </c>
      <c r="P473" s="1">
        <v>2</v>
      </c>
      <c r="Q473" s="4">
        <v>49.481623259999999</v>
      </c>
      <c r="R473" s="1" t="s">
        <v>26</v>
      </c>
      <c r="S473" s="3">
        <v>0.89926190800000005</v>
      </c>
      <c r="T473" s="1" t="s">
        <v>35</v>
      </c>
      <c r="U473" s="1" t="s">
        <v>28</v>
      </c>
      <c r="V473" s="4">
        <v>566.7748216</v>
      </c>
      <c r="W473" s="8">
        <f>Table1[[#This Row],[Revenue]]-Table1[[#This Row],[Shipping costs]]-Table1[[#This Row],[Manufacturing costs]]</f>
        <v>509.61910336400001</v>
      </c>
    </row>
    <row r="474" spans="1:23" ht="14.25" customHeight="1" x14ac:dyDescent="0.25">
      <c r="A474" s="1" t="s">
        <v>21</v>
      </c>
      <c r="B474" s="1" t="s">
        <v>520</v>
      </c>
      <c r="C474" s="2">
        <v>46.31</v>
      </c>
      <c r="D474" s="1">
        <v>8</v>
      </c>
      <c r="E474" s="1">
        <v>681</v>
      </c>
      <c r="F474" s="1">
        <v>24</v>
      </c>
      <c r="G474" s="1">
        <v>87</v>
      </c>
      <c r="H474" s="1" t="str">
        <f>IF(Table1[[#This Row],[Order quantities]]&gt;Table1[[#This Row],[Availability]], "High Risk", "Low Risk")</f>
        <v>High Risk</v>
      </c>
      <c r="I474" s="1">
        <v>4</v>
      </c>
      <c r="J474" s="1" t="s">
        <v>43</v>
      </c>
      <c r="K474" s="4">
        <v>5.9200953839999997</v>
      </c>
      <c r="L474" s="1" t="s">
        <v>44</v>
      </c>
      <c r="M474" s="1" t="s">
        <v>55</v>
      </c>
      <c r="N474" s="1">
        <v>17</v>
      </c>
      <c r="O474" s="1">
        <v>144</v>
      </c>
      <c r="P474" s="1">
        <v>30</v>
      </c>
      <c r="Q474" s="4">
        <v>58.668175169999998</v>
      </c>
      <c r="R474" s="1" t="s">
        <v>26</v>
      </c>
      <c r="S474" s="3">
        <v>1.321098476</v>
      </c>
      <c r="T474" s="1" t="s">
        <v>35</v>
      </c>
      <c r="U474" s="1" t="s">
        <v>39</v>
      </c>
      <c r="V474" s="4">
        <v>801.16076290000001</v>
      </c>
      <c r="W474" s="8">
        <f>Table1[[#This Row],[Revenue]]-Table1[[#This Row],[Shipping costs]]-Table1[[#This Row],[Manufacturing costs]]</f>
        <v>736.57249234599999</v>
      </c>
    </row>
    <row r="475" spans="1:23" ht="14.25" customHeight="1" x14ac:dyDescent="0.25">
      <c r="A475" s="1" t="s">
        <v>29</v>
      </c>
      <c r="B475" s="1" t="s">
        <v>521</v>
      </c>
      <c r="C475" s="2">
        <v>28.41</v>
      </c>
      <c r="D475" s="1">
        <v>5</v>
      </c>
      <c r="E475" s="1">
        <v>583</v>
      </c>
      <c r="F475" s="1">
        <v>27</v>
      </c>
      <c r="G475" s="1">
        <v>41</v>
      </c>
      <c r="H475" s="1" t="str">
        <f>IF(Table1[[#This Row],[Order quantities]]&gt;Table1[[#This Row],[Availability]], "High Risk", "Low Risk")</f>
        <v>High Risk</v>
      </c>
      <c r="I475" s="1">
        <v>1</v>
      </c>
      <c r="J475" s="1" t="s">
        <v>31</v>
      </c>
      <c r="K475" s="4">
        <v>8.9603085480000004</v>
      </c>
      <c r="L475" s="1" t="s">
        <v>24</v>
      </c>
      <c r="M475" s="1" t="s">
        <v>33</v>
      </c>
      <c r="N475" s="1">
        <v>14</v>
      </c>
      <c r="O475" s="1">
        <v>207</v>
      </c>
      <c r="P475" s="1">
        <v>15</v>
      </c>
      <c r="Q475" s="4">
        <v>97.11728171</v>
      </c>
      <c r="R475" s="1" t="s">
        <v>51</v>
      </c>
      <c r="S475" s="3">
        <v>1.7751414489999999</v>
      </c>
      <c r="T475" s="1" t="s">
        <v>35</v>
      </c>
      <c r="U475" s="1" t="s">
        <v>53</v>
      </c>
      <c r="V475" s="4">
        <v>334.57010930000001</v>
      </c>
      <c r="W475" s="8">
        <f>Table1[[#This Row],[Revenue]]-Table1[[#This Row],[Shipping costs]]-Table1[[#This Row],[Manufacturing costs]]</f>
        <v>228.49251904200003</v>
      </c>
    </row>
    <row r="476" spans="1:23" ht="14.25" customHeight="1" x14ac:dyDescent="0.25">
      <c r="A476" s="1" t="s">
        <v>29</v>
      </c>
      <c r="B476" s="1" t="s">
        <v>522</v>
      </c>
      <c r="C476" s="2">
        <v>82.81</v>
      </c>
      <c r="D476" s="1">
        <v>72</v>
      </c>
      <c r="E476" s="1">
        <v>151</v>
      </c>
      <c r="F476" s="1">
        <v>14</v>
      </c>
      <c r="G476" s="1">
        <v>59</v>
      </c>
      <c r="H476" s="1" t="str">
        <f>IF(Table1[[#This Row],[Order quantities]]&gt;Table1[[#This Row],[Availability]], "High Risk", "Low Risk")</f>
        <v>Low Risk</v>
      </c>
      <c r="I476" s="1">
        <v>9</v>
      </c>
      <c r="J476" s="1" t="s">
        <v>31</v>
      </c>
      <c r="K476" s="4">
        <v>5.9859393000000001</v>
      </c>
      <c r="L476" s="1" t="s">
        <v>41</v>
      </c>
      <c r="M476" s="1" t="s">
        <v>62</v>
      </c>
      <c r="N476" s="1">
        <v>6</v>
      </c>
      <c r="O476" s="1">
        <v>318</v>
      </c>
      <c r="P476" s="1">
        <v>20</v>
      </c>
      <c r="Q476" s="4">
        <v>32.966400589999999</v>
      </c>
      <c r="R476" s="1" t="s">
        <v>34</v>
      </c>
      <c r="S476" s="3">
        <v>0.92447617699999995</v>
      </c>
      <c r="T476" s="1" t="s">
        <v>35</v>
      </c>
      <c r="U476" s="1" t="s">
        <v>28</v>
      </c>
      <c r="V476" s="4">
        <v>246.62493370000001</v>
      </c>
      <c r="W476" s="8">
        <f>Table1[[#This Row],[Revenue]]-Table1[[#This Row],[Shipping costs]]-Table1[[#This Row],[Manufacturing costs]]</f>
        <v>207.67259381</v>
      </c>
    </row>
    <row r="477" spans="1:23" ht="14.25" customHeight="1" x14ac:dyDescent="0.25">
      <c r="A477" s="1" t="s">
        <v>21</v>
      </c>
      <c r="B477" s="1" t="s">
        <v>523</v>
      </c>
      <c r="C477" s="2">
        <v>80.94</v>
      </c>
      <c r="D477" s="1">
        <v>94</v>
      </c>
      <c r="E477" s="1">
        <v>719</v>
      </c>
      <c r="F477" s="1">
        <v>8</v>
      </c>
      <c r="G477" s="1">
        <v>89</v>
      </c>
      <c r="H477" s="1" t="str">
        <f>IF(Table1[[#This Row],[Order quantities]]&gt;Table1[[#This Row],[Availability]], "High Risk", "Low Risk")</f>
        <v>Low Risk</v>
      </c>
      <c r="I477" s="1">
        <v>3</v>
      </c>
      <c r="J477" s="1" t="s">
        <v>23</v>
      </c>
      <c r="K477" s="4">
        <v>5.8110329719999996</v>
      </c>
      <c r="L477" s="1" t="s">
        <v>24</v>
      </c>
      <c r="M477" s="1" t="s">
        <v>49</v>
      </c>
      <c r="N477" s="1">
        <v>19</v>
      </c>
      <c r="O477" s="1">
        <v>542</v>
      </c>
      <c r="P477" s="1">
        <v>28</v>
      </c>
      <c r="Q477" s="4">
        <v>87.262322729999994</v>
      </c>
      <c r="R477" s="1" t="s">
        <v>26</v>
      </c>
      <c r="S477" s="3">
        <v>2.9500915299999999</v>
      </c>
      <c r="T477" s="1" t="s">
        <v>47</v>
      </c>
      <c r="U477" s="1" t="s">
        <v>28</v>
      </c>
      <c r="V477" s="4">
        <v>403.13719989999998</v>
      </c>
      <c r="W477" s="8">
        <f>Table1[[#This Row],[Revenue]]-Table1[[#This Row],[Shipping costs]]-Table1[[#This Row],[Manufacturing costs]]</f>
        <v>310.06384419799997</v>
      </c>
    </row>
    <row r="478" spans="1:23" ht="14.25" customHeight="1" x14ac:dyDescent="0.25">
      <c r="A478" s="1" t="s">
        <v>29</v>
      </c>
      <c r="B478" s="1" t="s">
        <v>524</v>
      </c>
      <c r="C478" s="2">
        <v>71</v>
      </c>
      <c r="D478" s="1">
        <v>31</v>
      </c>
      <c r="E478" s="1">
        <v>48</v>
      </c>
      <c r="F478" s="1">
        <v>19</v>
      </c>
      <c r="G478" s="1">
        <v>54</v>
      </c>
      <c r="H478" s="1" t="str">
        <f>IF(Table1[[#This Row],[Order quantities]]&gt;Table1[[#This Row],[Availability]], "High Risk", "Low Risk")</f>
        <v>High Risk</v>
      </c>
      <c r="I478" s="1">
        <v>5</v>
      </c>
      <c r="J478" s="1" t="s">
        <v>43</v>
      </c>
      <c r="K478" s="4">
        <v>2.7591220029999999</v>
      </c>
      <c r="L478" s="1" t="s">
        <v>38</v>
      </c>
      <c r="M478" s="1" t="s">
        <v>33</v>
      </c>
      <c r="N478" s="1">
        <v>24</v>
      </c>
      <c r="O478" s="1">
        <v>929</v>
      </c>
      <c r="P478" s="1">
        <v>18</v>
      </c>
      <c r="Q478" s="4">
        <v>59.175142049999998</v>
      </c>
      <c r="R478" s="1" t="s">
        <v>51</v>
      </c>
      <c r="S478" s="3">
        <v>4.8797075679999997</v>
      </c>
      <c r="T478" s="1" t="s">
        <v>35</v>
      </c>
      <c r="U478" s="1" t="s">
        <v>28</v>
      </c>
      <c r="V478" s="4">
        <v>599.22925889999999</v>
      </c>
      <c r="W478" s="8">
        <f>Table1[[#This Row],[Revenue]]-Table1[[#This Row],[Shipping costs]]-Table1[[#This Row],[Manufacturing costs]]</f>
        <v>537.294994847</v>
      </c>
    </row>
    <row r="479" spans="1:23" ht="14.25" customHeight="1" x14ac:dyDescent="0.25">
      <c r="A479" s="1" t="s">
        <v>21</v>
      </c>
      <c r="B479" s="1" t="s">
        <v>525</v>
      </c>
      <c r="C479" s="2">
        <v>30.85</v>
      </c>
      <c r="D479" s="1">
        <v>40</v>
      </c>
      <c r="E479" s="1">
        <v>153</v>
      </c>
      <c r="F479" s="1">
        <v>14</v>
      </c>
      <c r="G479" s="1">
        <v>74</v>
      </c>
      <c r="H479" s="1" t="str">
        <f>IF(Table1[[#This Row],[Order quantities]]&gt;Table1[[#This Row],[Availability]], "High Risk", "Low Risk")</f>
        <v>High Risk</v>
      </c>
      <c r="I479" s="1">
        <v>6</v>
      </c>
      <c r="J479" s="1" t="s">
        <v>43</v>
      </c>
      <c r="K479" s="4">
        <v>2.4960642580000001</v>
      </c>
      <c r="L479" s="1" t="s">
        <v>38</v>
      </c>
      <c r="M479" s="1" t="s">
        <v>33</v>
      </c>
      <c r="N479" s="1">
        <v>6</v>
      </c>
      <c r="O479" s="1">
        <v>414</v>
      </c>
      <c r="P479" s="1">
        <v>11</v>
      </c>
      <c r="Q479" s="4">
        <v>61.252886320000002</v>
      </c>
      <c r="R479" s="1" t="s">
        <v>34</v>
      </c>
      <c r="S479" s="3">
        <v>3.8311482840000002</v>
      </c>
      <c r="T479" s="1" t="s">
        <v>27</v>
      </c>
      <c r="U479" s="1" t="s">
        <v>28</v>
      </c>
      <c r="V479" s="4">
        <v>617.75163540000005</v>
      </c>
      <c r="W479" s="8">
        <f>Table1[[#This Row],[Revenue]]-Table1[[#This Row],[Shipping costs]]-Table1[[#This Row],[Manufacturing costs]]</f>
        <v>554.00268482199999</v>
      </c>
    </row>
    <row r="480" spans="1:23" ht="14.25" customHeight="1" x14ac:dyDescent="0.25">
      <c r="A480" s="1" t="s">
        <v>21</v>
      </c>
      <c r="B480" s="1" t="s">
        <v>526</v>
      </c>
      <c r="C480" s="2">
        <v>61.07</v>
      </c>
      <c r="D480" s="1">
        <v>75</v>
      </c>
      <c r="E480" s="1">
        <v>858</v>
      </c>
      <c r="F480" s="1">
        <v>10</v>
      </c>
      <c r="G480" s="1">
        <v>22</v>
      </c>
      <c r="H480" s="1" t="str">
        <f>IF(Table1[[#This Row],[Order quantities]]&gt;Table1[[#This Row],[Availability]], "High Risk", "Low Risk")</f>
        <v>Low Risk</v>
      </c>
      <c r="I480" s="1">
        <v>8</v>
      </c>
      <c r="J480" s="1" t="s">
        <v>43</v>
      </c>
      <c r="K480" s="4">
        <v>9.24840236</v>
      </c>
      <c r="L480" s="1" t="s">
        <v>41</v>
      </c>
      <c r="M480" s="1" t="s">
        <v>55</v>
      </c>
      <c r="N480" s="1">
        <v>27</v>
      </c>
      <c r="O480" s="1">
        <v>276</v>
      </c>
      <c r="P480" s="1">
        <v>25</v>
      </c>
      <c r="Q480" s="4">
        <v>40.885647149999997</v>
      </c>
      <c r="R480" s="1" t="s">
        <v>51</v>
      </c>
      <c r="S480" s="3">
        <v>2.1745950700000001</v>
      </c>
      <c r="T480" s="1" t="s">
        <v>35</v>
      </c>
      <c r="U480" s="1" t="s">
        <v>39</v>
      </c>
      <c r="V480" s="4">
        <v>217.7887001</v>
      </c>
      <c r="W480" s="8">
        <f>Table1[[#This Row],[Revenue]]-Table1[[#This Row],[Shipping costs]]-Table1[[#This Row],[Manufacturing costs]]</f>
        <v>167.65465059000002</v>
      </c>
    </row>
    <row r="481" spans="1:23" ht="14.25" customHeight="1" x14ac:dyDescent="0.25">
      <c r="A481" s="1" t="s">
        <v>21</v>
      </c>
      <c r="B481" s="1" t="s">
        <v>527</v>
      </c>
      <c r="C481" s="2">
        <v>39.29</v>
      </c>
      <c r="D481" s="1">
        <v>7</v>
      </c>
      <c r="E481" s="1">
        <v>292</v>
      </c>
      <c r="F481" s="1">
        <v>17</v>
      </c>
      <c r="G481" s="1">
        <v>83</v>
      </c>
      <c r="H481" s="1" t="str">
        <f>IF(Table1[[#This Row],[Order quantities]]&gt;Table1[[#This Row],[Availability]], "High Risk", "Low Risk")</f>
        <v>High Risk</v>
      </c>
      <c r="I481" s="1">
        <v>6</v>
      </c>
      <c r="J481" s="1" t="s">
        <v>43</v>
      </c>
      <c r="K481" s="4">
        <v>3.9505437900000002</v>
      </c>
      <c r="L481" s="1" t="s">
        <v>41</v>
      </c>
      <c r="M481" s="1" t="s">
        <v>25</v>
      </c>
      <c r="N481" s="1">
        <v>18</v>
      </c>
      <c r="O481" s="1">
        <v>327</v>
      </c>
      <c r="P481" s="1">
        <v>10</v>
      </c>
      <c r="Q481" s="4">
        <v>60.542592489999997</v>
      </c>
      <c r="R481" s="1" t="s">
        <v>34</v>
      </c>
      <c r="S481" s="3">
        <v>0.12207195699999999</v>
      </c>
      <c r="T481" s="1" t="s">
        <v>47</v>
      </c>
      <c r="U481" s="1" t="s">
        <v>39</v>
      </c>
      <c r="V481" s="4">
        <v>511.81196290000003</v>
      </c>
      <c r="W481" s="8">
        <f>Table1[[#This Row],[Revenue]]-Table1[[#This Row],[Shipping costs]]-Table1[[#This Row],[Manufacturing costs]]</f>
        <v>447.31882662000004</v>
      </c>
    </row>
    <row r="482" spans="1:23" ht="14.25" customHeight="1" x14ac:dyDescent="0.25">
      <c r="A482" s="1" t="s">
        <v>21</v>
      </c>
      <c r="B482" s="1" t="s">
        <v>528</v>
      </c>
      <c r="C482" s="2">
        <v>13.7</v>
      </c>
      <c r="D482" s="1">
        <v>71</v>
      </c>
      <c r="E482" s="1">
        <v>579</v>
      </c>
      <c r="F482" s="1">
        <v>9</v>
      </c>
      <c r="G482" s="1">
        <v>65</v>
      </c>
      <c r="H482" s="1" t="str">
        <f>IF(Table1[[#This Row],[Order quantities]]&gt;Table1[[#This Row],[Availability]], "High Risk", "Low Risk")</f>
        <v>Low Risk</v>
      </c>
      <c r="I482" s="1">
        <v>3</v>
      </c>
      <c r="J482" s="1" t="s">
        <v>31</v>
      </c>
      <c r="K482" s="4">
        <v>4.3487402949999998</v>
      </c>
      <c r="L482" s="1" t="s">
        <v>41</v>
      </c>
      <c r="M482" s="1" t="s">
        <v>49</v>
      </c>
      <c r="N482" s="1">
        <v>24</v>
      </c>
      <c r="O482" s="1">
        <v>802</v>
      </c>
      <c r="P482" s="1">
        <v>24</v>
      </c>
      <c r="Q482" s="4">
        <v>16.582825849999999</v>
      </c>
      <c r="R482" s="1" t="s">
        <v>26</v>
      </c>
      <c r="S482" s="3">
        <v>1.6350524550000001</v>
      </c>
      <c r="T482" s="1" t="s">
        <v>27</v>
      </c>
      <c r="U482" s="1" t="s">
        <v>39</v>
      </c>
      <c r="V482" s="4">
        <v>341.45397600000001</v>
      </c>
      <c r="W482" s="8">
        <f>Table1[[#This Row],[Revenue]]-Table1[[#This Row],[Shipping costs]]-Table1[[#This Row],[Manufacturing costs]]</f>
        <v>320.52240985499998</v>
      </c>
    </row>
    <row r="483" spans="1:23" ht="14.25" customHeight="1" x14ac:dyDescent="0.25">
      <c r="A483" s="1" t="s">
        <v>29</v>
      </c>
      <c r="B483" s="1" t="s">
        <v>529</v>
      </c>
      <c r="C483" s="2">
        <v>92.14</v>
      </c>
      <c r="D483" s="1">
        <v>49</v>
      </c>
      <c r="E483" s="1">
        <v>49</v>
      </c>
      <c r="F483" s="1">
        <v>29</v>
      </c>
      <c r="G483" s="1">
        <v>64</v>
      </c>
      <c r="H483" s="1" t="str">
        <f>IF(Table1[[#This Row],[Order quantities]]&gt;Table1[[#This Row],[Availability]], "High Risk", "Low Risk")</f>
        <v>High Risk</v>
      </c>
      <c r="I483" s="1">
        <v>6</v>
      </c>
      <c r="J483" s="1" t="s">
        <v>43</v>
      </c>
      <c r="K483" s="4">
        <v>7.8384129260000002</v>
      </c>
      <c r="L483" s="1" t="s">
        <v>44</v>
      </c>
      <c r="M483" s="1" t="s">
        <v>46</v>
      </c>
      <c r="N483" s="1">
        <v>5</v>
      </c>
      <c r="O483" s="1">
        <v>771</v>
      </c>
      <c r="P483" s="1">
        <v>24</v>
      </c>
      <c r="Q483" s="4">
        <v>78.81792154</v>
      </c>
      <c r="R483" s="1" t="s">
        <v>34</v>
      </c>
      <c r="S483" s="3">
        <v>2.68112051</v>
      </c>
      <c r="T483" s="1" t="s">
        <v>35</v>
      </c>
      <c r="U483" s="1" t="s">
        <v>53</v>
      </c>
      <c r="V483" s="4">
        <v>857.82179629999996</v>
      </c>
      <c r="W483" s="8">
        <f>Table1[[#This Row],[Revenue]]-Table1[[#This Row],[Shipping costs]]-Table1[[#This Row],[Manufacturing costs]]</f>
        <v>771.16546183399987</v>
      </c>
    </row>
    <row r="484" spans="1:23" ht="14.25" customHeight="1" x14ac:dyDescent="0.25">
      <c r="A484" s="1" t="s">
        <v>21</v>
      </c>
      <c r="B484" s="1" t="s">
        <v>530</v>
      </c>
      <c r="C484" s="2">
        <v>18</v>
      </c>
      <c r="D484" s="1">
        <v>91</v>
      </c>
      <c r="E484" s="1">
        <v>663</v>
      </c>
      <c r="F484" s="1">
        <v>6</v>
      </c>
      <c r="G484" s="1">
        <v>71</v>
      </c>
      <c r="H484" s="1" t="str">
        <f>IF(Table1[[#This Row],[Order quantities]]&gt;Table1[[#This Row],[Availability]], "High Risk", "Low Risk")</f>
        <v>Low Risk</v>
      </c>
      <c r="I484" s="1">
        <v>1</v>
      </c>
      <c r="J484" s="1" t="s">
        <v>31</v>
      </c>
      <c r="K484" s="4">
        <v>4.049411342</v>
      </c>
      <c r="L484" s="1" t="s">
        <v>41</v>
      </c>
      <c r="M484" s="1" t="s">
        <v>49</v>
      </c>
      <c r="N484" s="1">
        <v>24</v>
      </c>
      <c r="O484" s="1">
        <v>366</v>
      </c>
      <c r="P484" s="1">
        <v>4</v>
      </c>
      <c r="Q484" s="4">
        <v>35.621898539999997</v>
      </c>
      <c r="R484" s="1" t="s">
        <v>51</v>
      </c>
      <c r="S484" s="3">
        <v>1.6888292819999999</v>
      </c>
      <c r="T484" s="1" t="s">
        <v>47</v>
      </c>
      <c r="U484" s="1" t="s">
        <v>39</v>
      </c>
      <c r="V484" s="4">
        <v>382.21761889999999</v>
      </c>
      <c r="W484" s="8">
        <f>Table1[[#This Row],[Revenue]]-Table1[[#This Row],[Shipping costs]]-Table1[[#This Row],[Manufacturing costs]]</f>
        <v>342.54630901799999</v>
      </c>
    </row>
    <row r="485" spans="1:23" ht="14.25" customHeight="1" x14ac:dyDescent="0.25">
      <c r="A485" s="1" t="s">
        <v>114</v>
      </c>
      <c r="B485" s="1" t="s">
        <v>531</v>
      </c>
      <c r="C485" s="2">
        <v>95.27</v>
      </c>
      <c r="D485" s="1">
        <v>61</v>
      </c>
      <c r="E485" s="1">
        <v>530</v>
      </c>
      <c r="F485" s="1">
        <v>11</v>
      </c>
      <c r="G485" s="1">
        <v>4</v>
      </c>
      <c r="H485" s="1" t="str">
        <f>IF(Table1[[#This Row],[Order quantities]]&gt;Table1[[#This Row],[Availability]], "High Risk", "Low Risk")</f>
        <v>Low Risk</v>
      </c>
      <c r="I485" s="1">
        <v>4</v>
      </c>
      <c r="J485" s="1" t="s">
        <v>31</v>
      </c>
      <c r="K485" s="4">
        <v>9.5685620199999999</v>
      </c>
      <c r="L485" s="1" t="s">
        <v>38</v>
      </c>
      <c r="M485" s="1" t="s">
        <v>55</v>
      </c>
      <c r="N485" s="1">
        <v>24</v>
      </c>
      <c r="O485" s="1">
        <v>969</v>
      </c>
      <c r="P485" s="1">
        <v>5</v>
      </c>
      <c r="Q485" s="4">
        <v>89.884749650000003</v>
      </c>
      <c r="R485" s="1" t="s">
        <v>51</v>
      </c>
      <c r="S485" s="3">
        <v>0.64407112300000002</v>
      </c>
      <c r="T485" s="1" t="s">
        <v>35</v>
      </c>
      <c r="U485" s="1" t="s">
        <v>39</v>
      </c>
      <c r="V485" s="4">
        <v>854.83407209999996</v>
      </c>
      <c r="W485" s="8">
        <f>Table1[[#This Row],[Revenue]]-Table1[[#This Row],[Shipping costs]]-Table1[[#This Row],[Manufacturing costs]]</f>
        <v>755.38076043000001</v>
      </c>
    </row>
    <row r="486" spans="1:23" ht="14.25" customHeight="1" x14ac:dyDescent="0.25">
      <c r="A486" s="1" t="s">
        <v>114</v>
      </c>
      <c r="B486" s="1" t="s">
        <v>532</v>
      </c>
      <c r="C486" s="2">
        <v>47.37</v>
      </c>
      <c r="D486" s="1">
        <v>83</v>
      </c>
      <c r="E486" s="1">
        <v>611</v>
      </c>
      <c r="F486" s="1">
        <v>25</v>
      </c>
      <c r="G486" s="1">
        <v>65</v>
      </c>
      <c r="H486" s="1" t="str">
        <f>IF(Table1[[#This Row],[Order quantities]]&gt;Table1[[#This Row],[Availability]], "High Risk", "Low Risk")</f>
        <v>Low Risk</v>
      </c>
      <c r="I486" s="1">
        <v>6</v>
      </c>
      <c r="J486" s="1" t="s">
        <v>23</v>
      </c>
      <c r="K486" s="4">
        <v>7.6413499209999998</v>
      </c>
      <c r="L486" s="1" t="s">
        <v>41</v>
      </c>
      <c r="M486" s="1" t="s">
        <v>62</v>
      </c>
      <c r="N486" s="1">
        <v>6</v>
      </c>
      <c r="O486" s="1">
        <v>937</v>
      </c>
      <c r="P486" s="1">
        <v>4</v>
      </c>
      <c r="Q486" s="4">
        <v>43.106562519999997</v>
      </c>
      <c r="R486" s="1" t="s">
        <v>34</v>
      </c>
      <c r="S486" s="3">
        <v>2.2695482889999998</v>
      </c>
      <c r="T486" s="1" t="s">
        <v>27</v>
      </c>
      <c r="U486" s="1" t="s">
        <v>53</v>
      </c>
      <c r="V486" s="4">
        <v>485.7081513</v>
      </c>
      <c r="W486" s="8">
        <f>Table1[[#This Row],[Revenue]]-Table1[[#This Row],[Shipping costs]]-Table1[[#This Row],[Manufacturing costs]]</f>
        <v>434.96023885900001</v>
      </c>
    </row>
    <row r="487" spans="1:23" ht="14.25" customHeight="1" x14ac:dyDescent="0.25">
      <c r="A487" s="1" t="s">
        <v>29</v>
      </c>
      <c r="B487" s="1" t="s">
        <v>533</v>
      </c>
      <c r="C487" s="2">
        <v>68.8</v>
      </c>
      <c r="D487" s="1">
        <v>17</v>
      </c>
      <c r="E487" s="1">
        <v>661</v>
      </c>
      <c r="F487" s="1">
        <v>28</v>
      </c>
      <c r="G487" s="1">
        <v>74</v>
      </c>
      <c r="H487" s="1" t="str">
        <f>IF(Table1[[#This Row],[Order quantities]]&gt;Table1[[#This Row],[Availability]], "High Risk", "Low Risk")</f>
        <v>High Risk</v>
      </c>
      <c r="I487" s="1">
        <v>5</v>
      </c>
      <c r="J487" s="1" t="s">
        <v>43</v>
      </c>
      <c r="K487" s="4">
        <v>8.9164134700000002</v>
      </c>
      <c r="L487" s="1" t="s">
        <v>44</v>
      </c>
      <c r="M487" s="1" t="s">
        <v>46</v>
      </c>
      <c r="N487" s="1">
        <v>6</v>
      </c>
      <c r="O487" s="1">
        <v>381</v>
      </c>
      <c r="P487" s="1">
        <v>7</v>
      </c>
      <c r="Q487" s="4">
        <v>63.899478530000003</v>
      </c>
      <c r="R487" s="1" t="s">
        <v>34</v>
      </c>
      <c r="S487" s="3">
        <v>3.228429846</v>
      </c>
      <c r="T487" s="1" t="s">
        <v>35</v>
      </c>
      <c r="U487" s="1" t="s">
        <v>39</v>
      </c>
      <c r="V487" s="4">
        <v>834.23847090000004</v>
      </c>
      <c r="W487" s="8">
        <f>Table1[[#This Row],[Revenue]]-Table1[[#This Row],[Shipping costs]]-Table1[[#This Row],[Manufacturing costs]]</f>
        <v>761.42257890000008</v>
      </c>
    </row>
    <row r="488" spans="1:23" ht="14.25" customHeight="1" x14ac:dyDescent="0.25">
      <c r="A488" s="1" t="s">
        <v>29</v>
      </c>
      <c r="B488" s="1" t="s">
        <v>534</v>
      </c>
      <c r="C488" s="2">
        <v>46.56</v>
      </c>
      <c r="D488" s="1">
        <v>92</v>
      </c>
      <c r="E488" s="1">
        <v>861</v>
      </c>
      <c r="F488" s="1">
        <v>6</v>
      </c>
      <c r="G488" s="1">
        <v>61</v>
      </c>
      <c r="H488" s="1" t="str">
        <f>IF(Table1[[#This Row],[Order quantities]]&gt;Table1[[#This Row],[Availability]], "High Risk", "Low Risk")</f>
        <v>Low Risk</v>
      </c>
      <c r="I488" s="1">
        <v>5</v>
      </c>
      <c r="J488" s="1" t="s">
        <v>23</v>
      </c>
      <c r="K488" s="4">
        <v>6.0750362889999998</v>
      </c>
      <c r="L488" s="1" t="s">
        <v>24</v>
      </c>
      <c r="M488" s="1" t="s">
        <v>62</v>
      </c>
      <c r="N488" s="1">
        <v>25</v>
      </c>
      <c r="O488" s="1">
        <v>106</v>
      </c>
      <c r="P488" s="1">
        <v>19</v>
      </c>
      <c r="Q488" s="4">
        <v>42.870513359999997</v>
      </c>
      <c r="R488" s="1" t="s">
        <v>51</v>
      </c>
      <c r="S488" s="3">
        <v>3.3856484820000001</v>
      </c>
      <c r="T488" s="1" t="s">
        <v>27</v>
      </c>
      <c r="U488" s="1" t="s">
        <v>39</v>
      </c>
      <c r="V488" s="4">
        <v>406.5895696</v>
      </c>
      <c r="W488" s="8">
        <f>Table1[[#This Row],[Revenue]]-Table1[[#This Row],[Shipping costs]]-Table1[[#This Row],[Manufacturing costs]]</f>
        <v>357.64401995099996</v>
      </c>
    </row>
    <row r="489" spans="1:23" ht="14.25" customHeight="1" x14ac:dyDescent="0.25">
      <c r="A489" s="1" t="s">
        <v>21</v>
      </c>
      <c r="B489" s="1" t="s">
        <v>535</v>
      </c>
      <c r="C489" s="2">
        <v>99.97</v>
      </c>
      <c r="D489" s="1">
        <v>85</v>
      </c>
      <c r="E489" s="1">
        <v>566</v>
      </c>
      <c r="F489" s="1">
        <v>25</v>
      </c>
      <c r="G489" s="1">
        <v>61</v>
      </c>
      <c r="H489" s="1" t="str">
        <f>IF(Table1[[#This Row],[Order quantities]]&gt;Table1[[#This Row],[Availability]], "High Risk", "Low Risk")</f>
        <v>Low Risk</v>
      </c>
      <c r="I489" s="1">
        <v>4</v>
      </c>
      <c r="J489" s="1" t="s">
        <v>31</v>
      </c>
      <c r="K489" s="4">
        <v>8.2374900849999992</v>
      </c>
      <c r="L489" s="1" t="s">
        <v>24</v>
      </c>
      <c r="M489" s="1" t="s">
        <v>33</v>
      </c>
      <c r="N489" s="1">
        <v>3</v>
      </c>
      <c r="O489" s="1">
        <v>717</v>
      </c>
      <c r="P489" s="1">
        <v>17</v>
      </c>
      <c r="Q489" s="4">
        <v>56.810387310000003</v>
      </c>
      <c r="R489" s="1" t="s">
        <v>26</v>
      </c>
      <c r="S489" s="3">
        <v>3.9608615980000001</v>
      </c>
      <c r="T489" s="1" t="s">
        <v>47</v>
      </c>
      <c r="U489" s="1" t="s">
        <v>39</v>
      </c>
      <c r="V489" s="4">
        <v>609.90760290000003</v>
      </c>
      <c r="W489" s="8">
        <f>Table1[[#This Row],[Revenue]]-Table1[[#This Row],[Shipping costs]]-Table1[[#This Row],[Manufacturing costs]]</f>
        <v>544.85972550500003</v>
      </c>
    </row>
    <row r="490" spans="1:23" ht="14.25" customHeight="1" x14ac:dyDescent="0.25">
      <c r="C490" s="2"/>
      <c r="K490" s="8"/>
      <c r="Q490" s="8"/>
      <c r="S490" s="9"/>
      <c r="V490" s="8"/>
    </row>
    <row r="491" spans="1:23" ht="14.25" customHeight="1" x14ac:dyDescent="0.25"/>
    <row r="492" spans="1:23" ht="14.25" customHeight="1" x14ac:dyDescent="0.25"/>
    <row r="493" spans="1:23" ht="14.25" customHeight="1" x14ac:dyDescent="0.25"/>
    <row r="494" spans="1:23" ht="14.25" customHeight="1" x14ac:dyDescent="0.25"/>
    <row r="495" spans="1:23" ht="14.25" customHeight="1" x14ac:dyDescent="0.25"/>
    <row r="496" spans="1:23"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conditionalFormatting sqref="H2:H489">
    <cfRule type="containsText" dxfId="1" priority="2" operator="containsText" text="l">
      <formula>NOT(ISERROR(SEARCH("l",H2)))</formula>
    </cfRule>
  </conditionalFormatting>
  <conditionalFormatting sqref="H443:H489">
    <cfRule type="containsText" dxfId="0" priority="1" operator="containsText" text="H">
      <formula>NOT(ISERROR(SEARCH("H",H443)))</formula>
    </cfRule>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1006B-5123-4AF1-96B2-6BB2BB112DFB}">
  <dimension ref="A1"/>
  <sheetViews>
    <sheetView zoomScale="91"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477A-F373-45A9-9CD3-251E5116612A}">
  <dimension ref="A3:M78"/>
  <sheetViews>
    <sheetView zoomScale="57" zoomScaleNormal="69" workbookViewId="0"/>
  </sheetViews>
  <sheetFormatPr defaultRowHeight="15" x14ac:dyDescent="0.25"/>
  <cols>
    <col min="1" max="1" width="19.140625" bestFit="1" customWidth="1"/>
    <col min="2" max="2" width="28.42578125" bestFit="1" customWidth="1"/>
    <col min="3" max="3" width="44.28515625" bestFit="1" customWidth="1"/>
    <col min="4" max="4" width="20.85546875" bestFit="1" customWidth="1"/>
    <col min="5" max="5" width="33.5703125" bestFit="1" customWidth="1"/>
    <col min="6" max="6" width="6.85546875" bestFit="1" customWidth="1"/>
    <col min="7" max="7" width="12.5703125" bestFit="1" customWidth="1"/>
    <col min="8" max="9" width="33.5703125" bestFit="1" customWidth="1"/>
    <col min="10" max="10" width="8.7109375" bestFit="1" customWidth="1"/>
    <col min="11" max="11" width="11.42578125" bestFit="1" customWidth="1"/>
    <col min="12" max="12" width="14" bestFit="1" customWidth="1"/>
    <col min="13" max="13" width="20.85546875" bestFit="1" customWidth="1"/>
    <col min="14" max="489" width="8.140625" bestFit="1" customWidth="1"/>
    <col min="490" max="490" width="11.5703125" bestFit="1" customWidth="1"/>
  </cols>
  <sheetData>
    <row r="3" spans="1:9" x14ac:dyDescent="0.25">
      <c r="A3" s="6" t="s">
        <v>537</v>
      </c>
      <c r="B3" t="s">
        <v>539</v>
      </c>
      <c r="D3" t="s">
        <v>547</v>
      </c>
    </row>
    <row r="4" spans="1:9" x14ac:dyDescent="0.25">
      <c r="A4" s="7" t="s">
        <v>39</v>
      </c>
      <c r="B4" s="10">
        <v>911.66186578500003</v>
      </c>
      <c r="D4">
        <v>488</v>
      </c>
      <c r="E4">
        <f>GETPIVOTDATA("SKU",$D$3)</f>
        <v>488</v>
      </c>
    </row>
    <row r="5" spans="1:9" x14ac:dyDescent="0.25">
      <c r="A5" s="7" t="s">
        <v>28</v>
      </c>
      <c r="B5" s="10">
        <v>882.6333513320003</v>
      </c>
      <c r="H5" s="6" t="s">
        <v>537</v>
      </c>
      <c r="I5" t="s">
        <v>540</v>
      </c>
    </row>
    <row r="6" spans="1:9" x14ac:dyDescent="0.25">
      <c r="A6" s="7" t="s">
        <v>53</v>
      </c>
      <c r="B6" s="10">
        <v>834.07161219499994</v>
      </c>
      <c r="H6" s="7" t="s">
        <v>39</v>
      </c>
      <c r="I6" s="10">
        <v>15.9625</v>
      </c>
    </row>
    <row r="7" spans="1:9" x14ac:dyDescent="0.25">
      <c r="A7" s="7" t="s">
        <v>538</v>
      </c>
      <c r="B7" s="8">
        <v>2628.3668293120004</v>
      </c>
      <c r="H7" s="7" t="s">
        <v>28</v>
      </c>
      <c r="I7" s="10">
        <v>15.297619047619047</v>
      </c>
    </row>
    <row r="8" spans="1:9" x14ac:dyDescent="0.25">
      <c r="H8" s="7" t="s">
        <v>53</v>
      </c>
      <c r="I8" s="10">
        <v>16.05298013245033</v>
      </c>
    </row>
    <row r="9" spans="1:9" x14ac:dyDescent="0.25">
      <c r="H9" s="7" t="s">
        <v>538</v>
      </c>
      <c r="I9">
        <v>15.757828810020877</v>
      </c>
    </row>
    <row r="10" spans="1:9" x14ac:dyDescent="0.25">
      <c r="A10" s="6" t="s">
        <v>537</v>
      </c>
      <c r="B10" t="s">
        <v>539</v>
      </c>
      <c r="D10" t="s">
        <v>539</v>
      </c>
      <c r="E10" t="s">
        <v>540</v>
      </c>
    </row>
    <row r="11" spans="1:9" x14ac:dyDescent="0.25">
      <c r="A11" s="7" t="s">
        <v>38</v>
      </c>
      <c r="B11" s="10">
        <v>461.54302327999994</v>
      </c>
      <c r="D11" s="8">
        <v>2672.1878677839982</v>
      </c>
      <c r="E11" s="8">
        <v>15.770491803278688</v>
      </c>
    </row>
    <row r="12" spans="1:9" x14ac:dyDescent="0.25">
      <c r="A12" s="7" t="s">
        <v>41</v>
      </c>
      <c r="B12" s="10">
        <v>536.09367776200008</v>
      </c>
    </row>
    <row r="13" spans="1:9" x14ac:dyDescent="0.25">
      <c r="A13" s="7" t="s">
        <v>44</v>
      </c>
      <c r="B13" s="10">
        <v>627.41472311500002</v>
      </c>
      <c r="D13" s="8">
        <f>GETPIVOTDATA("Sum of Shipping costs",$D$10)</f>
        <v>2672.1878677839982</v>
      </c>
      <c r="E13" s="8">
        <f>GETPIVOTDATA("Average of Lead times",$D$10)</f>
        <v>15.770491803278688</v>
      </c>
    </row>
    <row r="14" spans="1:9" x14ac:dyDescent="0.25">
      <c r="A14" s="7" t="s">
        <v>24</v>
      </c>
      <c r="B14" s="10">
        <v>453.11314393299995</v>
      </c>
    </row>
    <row r="15" spans="1:9" x14ac:dyDescent="0.25">
      <c r="A15" s="7" t="s">
        <v>32</v>
      </c>
      <c r="B15" s="10">
        <v>513.59675313399975</v>
      </c>
    </row>
    <row r="16" spans="1:9" x14ac:dyDescent="0.25">
      <c r="A16" s="7" t="s">
        <v>538</v>
      </c>
      <c r="B16" s="8">
        <v>2591.7613212239999</v>
      </c>
    </row>
    <row r="26" spans="1:8" x14ac:dyDescent="0.25">
      <c r="H26" s="8"/>
    </row>
    <row r="32" spans="1:8" x14ac:dyDescent="0.25">
      <c r="A32" s="6" t="s">
        <v>537</v>
      </c>
      <c r="B32" t="s">
        <v>542</v>
      </c>
      <c r="C32" t="s">
        <v>541</v>
      </c>
    </row>
    <row r="33" spans="1:13" x14ac:dyDescent="0.25">
      <c r="A33" s="7" t="s">
        <v>38</v>
      </c>
      <c r="B33" s="9">
        <v>2.7996253694302329</v>
      </c>
      <c r="C33" s="15">
        <v>14.732558139534884</v>
      </c>
    </row>
    <row r="34" spans="1:13" x14ac:dyDescent="0.25">
      <c r="A34" s="7" t="s">
        <v>41</v>
      </c>
      <c r="B34" s="9">
        <v>2.6000047144500003</v>
      </c>
      <c r="C34" s="15">
        <v>14.2</v>
      </c>
    </row>
    <row r="35" spans="1:13" x14ac:dyDescent="0.25">
      <c r="A35" s="7" t="s">
        <v>44</v>
      </c>
      <c r="B35" s="9">
        <v>2.7222198359203529</v>
      </c>
      <c r="C35" s="15">
        <v>14.486725663716815</v>
      </c>
      <c r="E35" t="s">
        <v>541</v>
      </c>
    </row>
    <row r="36" spans="1:13" x14ac:dyDescent="0.25">
      <c r="A36" s="7" t="s">
        <v>24</v>
      </c>
      <c r="B36" s="9">
        <v>2.3540339976666678</v>
      </c>
      <c r="C36" s="15">
        <v>16.345238095238095</v>
      </c>
      <c r="E36">
        <v>14.776639344262295</v>
      </c>
      <c r="F36" s="8">
        <f>GETPIVOTDATA("Manufacturing lead time",$E$35)</f>
        <v>14.776639344262295</v>
      </c>
    </row>
    <row r="37" spans="1:13" x14ac:dyDescent="0.25">
      <c r="A37" s="7" t="s">
        <v>32</v>
      </c>
      <c r="B37" s="9">
        <v>2.5261553421111107</v>
      </c>
      <c r="C37" s="15">
        <v>14.6</v>
      </c>
    </row>
    <row r="38" spans="1:13" x14ac:dyDescent="0.25">
      <c r="A38" s="7" t="s">
        <v>538</v>
      </c>
      <c r="B38" s="9">
        <v>2.6077630682219892</v>
      </c>
      <c r="C38" s="15">
        <v>14.822410147991544</v>
      </c>
    </row>
    <row r="42" spans="1:13" x14ac:dyDescent="0.25">
      <c r="A42" s="6" t="s">
        <v>537</v>
      </c>
      <c r="B42" t="s">
        <v>544</v>
      </c>
    </row>
    <row r="43" spans="1:13" x14ac:dyDescent="0.25">
      <c r="A43" s="7" t="s">
        <v>239</v>
      </c>
      <c r="B43" s="8">
        <v>976.02035283400005</v>
      </c>
    </row>
    <row r="44" spans="1:13" x14ac:dyDescent="0.25">
      <c r="A44" s="7" t="s">
        <v>188</v>
      </c>
      <c r="B44" s="8">
        <v>968.79876385199998</v>
      </c>
    </row>
    <row r="45" spans="1:13" x14ac:dyDescent="0.25">
      <c r="A45" s="7" t="s">
        <v>429</v>
      </c>
      <c r="B45" s="8">
        <v>960.14858457299999</v>
      </c>
      <c r="D45" t="s">
        <v>544</v>
      </c>
      <c r="M45" t="s">
        <v>546</v>
      </c>
    </row>
    <row r="46" spans="1:13" x14ac:dyDescent="0.25">
      <c r="A46" s="7" t="s">
        <v>249</v>
      </c>
      <c r="B46" s="8">
        <v>956.35533908399998</v>
      </c>
      <c r="D46" s="8">
        <v>231929.25667815621</v>
      </c>
      <c r="E46" s="11">
        <f>GETPIVOTDATA("Profitability",$D$45)</f>
        <v>231929.25667815621</v>
      </c>
    </row>
    <row r="47" spans="1:13" x14ac:dyDescent="0.25">
      <c r="A47" s="7" t="s">
        <v>414</v>
      </c>
      <c r="B47" s="8">
        <v>948.35676173999991</v>
      </c>
    </row>
    <row r="48" spans="1:13" x14ac:dyDescent="0.25">
      <c r="A48" s="7" t="s">
        <v>315</v>
      </c>
      <c r="B48" s="8">
        <v>945.72638379600005</v>
      </c>
    </row>
    <row r="49" spans="1:2" x14ac:dyDescent="0.25">
      <c r="A49" s="7" t="s">
        <v>86</v>
      </c>
      <c r="B49" s="8">
        <v>944.76048504100004</v>
      </c>
    </row>
    <row r="50" spans="1:2" x14ac:dyDescent="0.25">
      <c r="A50" s="7" t="s">
        <v>263</v>
      </c>
      <c r="B50" s="8">
        <v>939.72146825400011</v>
      </c>
    </row>
    <row r="51" spans="1:2" x14ac:dyDescent="0.25">
      <c r="A51" s="7" t="s">
        <v>91</v>
      </c>
      <c r="B51" s="8">
        <v>929.50840539300009</v>
      </c>
    </row>
    <row r="52" spans="1:2" x14ac:dyDescent="0.25">
      <c r="A52" s="7" t="s">
        <v>307</v>
      </c>
      <c r="B52" s="8">
        <v>929.40765167300003</v>
      </c>
    </row>
    <row r="53" spans="1:2" x14ac:dyDescent="0.25">
      <c r="A53" s="7" t="s">
        <v>538</v>
      </c>
      <c r="B53" s="8">
        <v>9498.8041962400021</v>
      </c>
    </row>
    <row r="57" spans="1:2" x14ac:dyDescent="0.25">
      <c r="A57" s="6" t="s">
        <v>537</v>
      </c>
      <c r="B57" t="s">
        <v>545</v>
      </c>
    </row>
    <row r="58" spans="1:2" x14ac:dyDescent="0.25">
      <c r="A58" s="7" t="s">
        <v>208</v>
      </c>
      <c r="B58" s="8">
        <v>35.763232395999992</v>
      </c>
    </row>
    <row r="59" spans="1:2" x14ac:dyDescent="0.25">
      <c r="A59" s="7" t="s">
        <v>210</v>
      </c>
      <c r="B59" s="8">
        <v>29.599826192000009</v>
      </c>
    </row>
    <row r="60" spans="1:2" x14ac:dyDescent="0.25">
      <c r="A60" s="7" t="s">
        <v>218</v>
      </c>
      <c r="B60" s="8">
        <v>56.525176751000018</v>
      </c>
    </row>
    <row r="61" spans="1:2" x14ac:dyDescent="0.25">
      <c r="A61" s="7" t="s">
        <v>225</v>
      </c>
      <c r="B61" s="8">
        <v>15.620342644999994</v>
      </c>
    </row>
    <row r="62" spans="1:2" x14ac:dyDescent="0.25">
      <c r="A62" s="7" t="s">
        <v>311</v>
      </c>
      <c r="B62" s="8">
        <v>31.963765433999995</v>
      </c>
    </row>
    <row r="63" spans="1:2" x14ac:dyDescent="0.25">
      <c r="A63" s="7" t="s">
        <v>338</v>
      </c>
      <c r="B63" s="8">
        <v>29.637530827999996</v>
      </c>
    </row>
    <row r="64" spans="1:2" x14ac:dyDescent="0.25">
      <c r="A64" s="7" t="s">
        <v>384</v>
      </c>
      <c r="B64" s="8">
        <v>57.265953816999989</v>
      </c>
    </row>
    <row r="65" spans="1:5" x14ac:dyDescent="0.25">
      <c r="A65" s="7" t="s">
        <v>407</v>
      </c>
      <c r="B65" s="8">
        <v>46.896082501999999</v>
      </c>
    </row>
    <row r="66" spans="1:5" x14ac:dyDescent="0.25">
      <c r="A66" s="7" t="s">
        <v>45</v>
      </c>
      <c r="B66" s="8">
        <v>32.672640130999994</v>
      </c>
    </row>
    <row r="67" spans="1:5" x14ac:dyDescent="0.25">
      <c r="A67" s="7" t="s">
        <v>108</v>
      </c>
      <c r="B67" s="8">
        <v>10.080273851000001</v>
      </c>
    </row>
    <row r="68" spans="1:5" x14ac:dyDescent="0.25">
      <c r="A68" s="7" t="s">
        <v>538</v>
      </c>
      <c r="B68" s="8">
        <v>346.02482454699998</v>
      </c>
    </row>
    <row r="74" spans="1:5" x14ac:dyDescent="0.25">
      <c r="A74" s="6" t="s">
        <v>537</v>
      </c>
      <c r="B74" t="s">
        <v>539</v>
      </c>
      <c r="D74" t="s">
        <v>539</v>
      </c>
    </row>
    <row r="75" spans="1:5" x14ac:dyDescent="0.25">
      <c r="A75" s="7" t="s">
        <v>35</v>
      </c>
      <c r="B75" s="8">
        <v>1030.2988372989998</v>
      </c>
      <c r="D75" s="8">
        <v>2672.1878677839982</v>
      </c>
      <c r="E75" s="10">
        <f xml:space="preserve"> GETPIVOTDATA("Shipping costs",$D$74)</f>
        <v>2672.1878677839982</v>
      </c>
    </row>
    <row r="76" spans="1:5" x14ac:dyDescent="0.25">
      <c r="A76" s="7" t="s">
        <v>47</v>
      </c>
      <c r="B76" s="8">
        <v>816.96999200300013</v>
      </c>
    </row>
    <row r="77" spans="1:5" x14ac:dyDescent="0.25">
      <c r="A77" s="7" t="s">
        <v>27</v>
      </c>
      <c r="B77" s="8">
        <v>824.91903848199991</v>
      </c>
    </row>
    <row r="78" spans="1:5" x14ac:dyDescent="0.25">
      <c r="A78" s="7" t="s">
        <v>538</v>
      </c>
      <c r="B78" s="8">
        <v>2672.187867784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B7D4-1779-49AD-9D3D-5454661D5E0A}">
  <dimension ref="F3:U64"/>
  <sheetViews>
    <sheetView tabSelected="1" zoomScale="65" workbookViewId="0">
      <selection activeCell="A13" sqref="A13"/>
    </sheetView>
  </sheetViews>
  <sheetFormatPr defaultRowHeight="15" x14ac:dyDescent="0.25"/>
  <cols>
    <col min="1" max="16384" width="9.140625" style="12"/>
  </cols>
  <sheetData>
    <row r="3" spans="6:15" ht="21" x14ac:dyDescent="0.35">
      <c r="L3" s="13"/>
      <c r="M3" s="13"/>
      <c r="N3" s="13"/>
      <c r="O3" s="13"/>
    </row>
    <row r="9" spans="6:15" x14ac:dyDescent="0.25">
      <c r="F9" s="14"/>
    </row>
    <row r="17" s="12" customFormat="1" x14ac:dyDescent="0.25"/>
    <row r="64" spans="21:21" x14ac:dyDescent="0.25">
      <c r="U64" s="12" t="s">
        <v>546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Charts</vt:lpstr>
      <vt:lpstr>Analysis</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Babalola</dc:creator>
  <cp:lastModifiedBy>Temitope Somoye</cp:lastModifiedBy>
  <dcterms:created xsi:type="dcterms:W3CDTF">2025-05-08T19:01:21Z</dcterms:created>
  <dcterms:modified xsi:type="dcterms:W3CDTF">2026-10-24T11:09:01Z</dcterms:modified>
</cp:coreProperties>
</file>